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7475e4b2e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8fe6035135d40f6"/>
    <x:sheet xmlns:r="http://schemas.openxmlformats.org/officeDocument/2006/relationships" name="Grupos_Semelhantes" sheetId="2" r:id="R02265b25cc1749da"/>
    <x:sheet xmlns:r="http://schemas.openxmlformats.org/officeDocument/2006/relationships" name="Produtos_Para_Revisar" sheetId="3" r:id="R1334eca0c20f4994"/>
    <x:sheet xmlns:r="http://schemas.openxmlformats.org/officeDocument/2006/relationships" name="Possiveis_Duplicidades" sheetId="4" r:id="R689ed5b32b7d40cb"/>
    <x:sheet xmlns:r="http://schemas.openxmlformats.org/officeDocument/2006/relationships" name="Catalogo_Normalizado" sheetId="5" r:id="Rb72d6d34bbc4484b"/>
    <x:sheet xmlns:r="http://schemas.openxmlformats.org/officeDocument/2006/relationships" name="Regras" sheetId="6" r:id="Rc2afd8bfbfaa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R$ 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6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6324F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6"/>
      </x:patternFill>
    </x:fill>
    <x:fill>
      <x:patternFill patternType="solid">
        <x:fgColor rgb="FF1F6F8B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2A9D8F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991B1B"/>
      </x:font>
      <x:fill>
        <x:patternFill patternType="solid">
          <x:bgColor rgb="FFFADBD8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166534"/>
      </x:font>
      <x:fill>
        <x:patternFill patternType="solid">
          <x:bgColor rgb="FFDFF3E8"/>
        </x:patternFill>
      </x:fill>
    </x:dxf>
    <x:dxf>
      <x:font>
        <x:b/>
        <x:color rgb="FF991B1B"/>
      </x:font>
      <x:fill>
        <x:patternFill patternType="solid">
          <x:bgColor rgb="FFFADBD8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166534"/>
      </x:font>
      <x:fill>
        <x:patternFill patternType="solid">
          <x:bgColor rgb="FFDFF3E8"/>
        </x:patternFill>
      </x:fill>
    </x:dxf>
    <x:dxf>
      <x:font>
        <x:b/>
        <x:color rgb="FF991B1B"/>
      </x:font>
      <x:fill>
        <x:patternFill patternType="solid">
          <x:bgColor rgb="FFFADBD8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166534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00f251dc94884" /><Relationship Type="http://schemas.openxmlformats.org/officeDocument/2006/relationships/theme" Target="/xl/theme/theme1.xml" Id="Rdd731e4832c54416" /><Relationship Type="http://schemas.openxmlformats.org/officeDocument/2006/relationships/sharedStrings" Target="/xl/sharedStrings.xml" Id="R8fb1d7190cce42c2" /><Relationship Type="http://schemas.openxmlformats.org/officeDocument/2006/relationships/worksheet" Target="/xl/worksheets/sheet1.xml" Id="R68fe6035135d40f6" /><Relationship Type="http://schemas.openxmlformats.org/officeDocument/2006/relationships/worksheet" Target="/xl/worksheets/sheet2.xml" Id="R02265b25cc1749da" /><Relationship Type="http://schemas.openxmlformats.org/officeDocument/2006/relationships/worksheet" Target="/xl/worksheets/sheet3.xml" Id="R1334eca0c20f4994" /><Relationship Type="http://schemas.openxmlformats.org/officeDocument/2006/relationships/worksheet" Target="/xl/worksheets/sheet4.xml" Id="R689ed5b32b7d40cb" /><Relationship Type="http://schemas.openxmlformats.org/officeDocument/2006/relationships/worksheet" Target="/xl/worksheets/sheet5.xml" Id="Rb72d6d34bbc4484b" /><Relationship Type="http://schemas.openxmlformats.org/officeDocument/2006/relationships/worksheet" Target="/xl/worksheets/sheet6.xml" Id="Rc2afd8bfbfaa4a87" /></Relationships>
</file>

<file path=xl/tables/table1.xml><?xml version="1.0" encoding="utf-8"?>
<x:table xmlns:x="http://schemas.openxmlformats.org/spreadsheetml/2006/main" id="1" name="GruposSemelhantesTable" displayName="GruposSemelhantesTable" ref="A4:O95" headerRowCount="1">
  <x:autoFilter ref="A4:O95"/>
  <x:tableColumns count="15">
    <x:tableColumn id="1" name="Grupo"/>
    <x:tableColumn id="2" name="Nome_Base"/>
    <x:tableColumn id="3" name="Qtd_Produtos"/>
    <x:tableColumn id="4" name="Risco"/>
    <x:tableColumn id="5" name="Acao_Sugerida"/>
    <x:tableColumn id="6" name="Varia_Especificacao"/>
    <x:tableColumn id="7" name="GTIN_Repetido"/>
    <x:tableColumn id="8" name="Dosagens_Volumes"/>
    <x:tableColumn id="9" name="Dimensoes_Calibres"/>
    <x:tableColumn id="10" name="Embalagens"/>
    <x:tableColumn id="11" name="Marcas"/>
    <x:tableColumn id="12" name="GTINs"/>
    <x:tableColumn id="13" name="Exemplos"/>
    <x:tableColumn id="14" name="Decisao_Manual"/>
    <x:tableColumn id="15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ProdutosRevisaoTable" displayName="ProdutosRevisaoTable" ref="A4:V274" headerRowCount="1">
  <x:autoFilter ref="A4:V274"/>
  <x:tableColumns count="22">
    <x:tableColumn id="1" name="Grupo"/>
    <x:tableColumn id="2" name="Nome_Base"/>
    <x:tableColumn id="3" name="Risco_Grupo"/>
    <x:tableColumn id="4" name="Acao_Sugerida"/>
    <x:tableColumn id="5" name="Codigo"/>
    <x:tableColumn id="6" name="Descricao_Atual"/>
    <x:tableColumn id="7" name="Base_Normalizada"/>
    <x:tableColumn id="8" name="Dosagem_Volume_%"/>
    <x:tableColumn id="9" name="Dimensao_Calibre"/>
    <x:tableColumn id="10" name="Embalagem"/>
    <x:tableColumn id="11" name="Apresentacao"/>
    <x:tableColumn id="12" name="Marca"/>
    <x:tableColumn id="13" name="GTIN"/>
    <x:tableColumn id="14" name="NCM"/>
    <x:tableColumn id="15" name="Custo"/>
    <x:tableColumn id="16" name="Venda"/>
    <x:tableColumn id="17" name="Linhas_Fonte"/>
    <x:tableColumn id="18" name="Codigos_Fonte"/>
    <x:tableColumn id="19" name="Pendencias_Originais"/>
    <x:tableColumn id="20" name="Nome_Sugerido"/>
    <x:tableColumn id="21" name="Decisao_Manual"/>
    <x:tableColumn id="22" name="Nome_Final_Ajustado"/>
  </x:tableColumns>
  <x:tableStyleInfo name="TableStyleMedium2" showRowStripes="1"/>
</x:table>
</file>

<file path=xl/tables/table3.xml><?xml version="1.0" encoding="utf-8"?>
<x:table xmlns:x="http://schemas.openxmlformats.org/spreadsheetml/2006/main" id="3" name="PossiveisDuplicidadesTable" displayName="PossiveisDuplicidadesTable" ref="A4:P149" headerRowCount="1">
  <x:autoFilter ref="A4:P149"/>
  <x:tableColumns count="16">
    <x:tableColumn id="1" name="Dup_ID"/>
    <x:tableColumn id="2" name="Nome_Base"/>
    <x:tableColumn id="3" name="Especificacao_Normalizada"/>
    <x:tableColumn id="4" name="Qtd_No_Grupo"/>
    <x:tableColumn id="5" name="Risco"/>
    <x:tableColumn id="6" name="Acao_Sugerida"/>
    <x:tableColumn id="7" name="Codigo"/>
    <x:tableColumn id="8" name="Descricao_Atual"/>
    <x:tableColumn id="9" name="Dosagem_Volume_%"/>
    <x:tableColumn id="10" name="Dimensao_Calibre"/>
    <x:tableColumn id="11" name="Embalagem"/>
    <x:tableColumn id="12" name="Marca"/>
    <x:tableColumn id="13" name="GTIN"/>
    <x:tableColumn id="14" name="Linhas_Fonte"/>
    <x:tableColumn id="15" name="Decisao_Manual"/>
    <x:tableColumn id="16" name="Observacao"/>
  </x:tableColumns>
  <x:tableStyleInfo name="TableStyleMedium2" showRowStripes="1"/>
</x:table>
</file>

<file path=xl/tables/table4.xml><?xml version="1.0" encoding="utf-8"?>
<x:table xmlns:x="http://schemas.openxmlformats.org/spreadsheetml/2006/main" id="4" name="CatalogoNormalizadoTable" displayName="CatalogoNormalizadoTable" ref="A4:Q484" headerRowCount="1">
  <x:autoFilter ref="A4:Q484"/>
  <x:tableColumns count="17">
    <x:tableColumn id="1" name="Seq"/>
    <x:tableColumn id="2" name="Codigo"/>
    <x:tableColumn id="3" name="Descricao_Atual"/>
    <x:tableColumn id="4" name="Base_Normalizada"/>
    <x:tableColumn id="5" name="Familia"/>
    <x:tableColumn id="6" name="Dosagem_Volume_%"/>
    <x:tableColumn id="7" name="Dimensao_Calibre"/>
    <x:tableColumn id="8" name="Embalagem"/>
    <x:tableColumn id="9" name="Apresentacao"/>
    <x:tableColumn id="10" name="Marca"/>
    <x:tableColumn id="11" name="GTIN"/>
    <x:tableColumn id="12" name="NCM"/>
    <x:tableColumn id="13" name="Unidade_Venda"/>
    <x:tableColumn id="14" name="Unidade_Compra"/>
    <x:tableColumn id="15" name="Fator"/>
    <x:tableColumn id="16" name="Linhas_Fonte"/>
    <x:tableColumn id="17" name="Codigos_Fonte"/>
  </x:tableColumns>
  <x:tableStyleInfo name="TableStyleMedium2" showRowStripes="1"/>
</x:table>
</file>

<file path=xl/tables/table5.xml><?xml version="1.0" encoding="utf-8"?>
<x:table xmlns:x="http://schemas.openxmlformats.org/spreadsheetml/2006/main" id="5" name="RegrasTable" displayName="RegrasTable" ref="A4:B12" headerRowCount="1">
  <x:autoFilter ref="A4:B12"/>
  <x:tableColumns count="2">
    <x:tableColumn id="1" name="Item"/>
    <x:tableColumn id="2" name="Regra / interpret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3028bea82e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3f8e6f44c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37aeb227704a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ecd7ffbf7d49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ff6982a3314f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Revisão de produtos semelhantes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Agrupamento por nome base para separar dosagem, volume, embalagem, marca e outras especificidades antes da importação.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0" t="str">
        <x:v>Indicador</x:v>
      </x:c>
      <x:c r="B4" s="10" t="str">
        <x:v>Resultado</x:v>
      </x:c>
      <x:c r="D4" s="17" t="str">
        <x:v>Como interpretar</x:v>
      </x:c>
      <x:c r="E4" s="17"/>
      <x:c r="F4" s="17"/>
      <x:c r="G4" s="17"/>
      <x:c r="H4" s="17"/>
      <x:c r="I4" s="17"/>
    </x:row>
    <x:row r="5">
      <x:c r="A5" s="12" t="str">
        <x:v>Produtos mestres no plano</x:v>
      </x:c>
      <x:c r="B5" s="15" t="n">
        <x:v>480</x:v>
      </x:c>
      <x:c r="D5" s="21" t="str">
        <x:v>1. Use Grupos_Semelhantes para ver famílias de produtos que parecem iguais no nome.</x:v>
      </x:c>
      <x:c r="E5" s="21"/>
      <x:c r="F5" s="21"/>
      <x:c r="G5" s="21"/>
      <x:c r="H5" s="21"/>
      <x:c r="I5" s="21"/>
    </x:row>
    <x:row r="6">
      <x:c r="A6" s="12" t="str">
        <x:v>Grupos com produtos semelhantes</x:v>
      </x:c>
      <x:c r="B6" s="15" t="n">
        <x:v>91</x:v>
      </x:c>
      <x:c r="D6" s="21" t="str">
        <x:v>2. Use Produtos_Para_Revisar para decidir produto por produto: manter separado, consolidar ou ajustar nome.</x:v>
      </x:c>
      <x:c r="E6" s="21"/>
      <x:c r="F6" s="21"/>
      <x:c r="G6" s="21"/>
      <x:c r="H6" s="21"/>
      <x:c r="I6" s="21"/>
    </x:row>
    <x:row r="7">
      <x:c r="A7" s="12" t="str">
        <x:v>Produtos dentro desses grupos</x:v>
      </x:c>
      <x:c r="B7" s="15" t="n">
        <x:v>270</x:v>
      </x:c>
      <x:c r="D7" s="21" t="str">
        <x:v>3. Use Possiveis_Duplicidades para casos onde a especificação parece igual e pode haver cadastro duplicado.</x:v>
      </x:c>
      <x:c r="E7" s="21"/>
      <x:c r="F7" s="21"/>
      <x:c r="G7" s="21"/>
      <x:c r="H7" s="21"/>
      <x:c r="I7" s="21"/>
    </x:row>
    <x:row r="8">
      <x:c r="A8" s="12" t="str">
        <x:v>Grupos de risco alto</x:v>
      </x:c>
      <x:c r="B8" s="15" t="n">
        <x:v>21</x:v>
      </x:c>
      <x:c r="D8" s="21" t="str">
        <x:v>4. Variação de dosagem, ml, %, calibre, dimensão ou embalagem normalmente deve virar SKU/produto separado.</x:v>
      </x:c>
      <x:c r="E8" s="21"/>
      <x:c r="F8" s="21"/>
      <x:c r="G8" s="21"/>
      <x:c r="H8" s="21"/>
      <x:c r="I8" s="21"/>
    </x:row>
    <x:row r="9">
      <x:c r="A9" s="12" t="str">
        <x:v>Possíveis duplicidades reais</x:v>
      </x:c>
      <x:c r="B9" s="15" t="n">
        <x:v>59</x:v>
      </x:c>
      <x:c r="D9" s="21" t="str">
        <x:v>5. GTIN repetido com especificação diferente é risco alto: revisar antes de importar.</x:v>
      </x:c>
      <x:c r="E9" s="21"/>
      <x:c r="F9" s="21"/>
      <x:c r="G9" s="21"/>
      <x:c r="H9" s="21"/>
      <x:c r="I9" s="21"/>
    </x:row>
    <x:row r="10">
      <x:c r="A10" s="12" t="str">
        <x:v>Grupos com variação de dosagem/volume/dimensão</x:v>
      </x:c>
      <x:c r="B10" s="15" t="n">
        <x:v>52</x:v>
      </x:c>
      <x:c r="D10" s="21" t="str">
        <x:v>6. Não alterei o CSV original nem gravei nada no banco.</x:v>
      </x:c>
      <x:c r="E10" s="21"/>
      <x:c r="F10" s="21"/>
      <x:c r="G10" s="21"/>
      <x:c r="H10" s="21"/>
      <x:c r="I10" s="21"/>
    </x:row>
    <x:row r="11">
      <x:c r="A11" s="12" t="str">
        <x:v>GTIN repetido dentro de grupos</x:v>
      </x:c>
      <x:c r="B11" s="15" t="n">
        <x:v>40</x:v>
      </x:c>
      <x:c r="D11" s="21" t="str">
        <x:v>7. As colunas amarelas são para sua decisão manual.</x:v>
      </x:c>
      <x:c r="E11" s="21"/>
      <x:c r="F11" s="21"/>
      <x:c r="G11" s="21"/>
      <x:c r="H11" s="21"/>
      <x:c r="I11" s="21"/>
    </x:row>
    <x:row r="12">
      <x:c r="A12" s="12" t="str">
        <x:v>Produtos sem especificação detectada</x:v>
      </x:c>
      <x:c r="B12" s="15" t="n">
        <x:v>0</x:v>
      </x:c>
      <x:c r="D12" s="21" t="str">
        <x:v>8. O agrupamento é uma sugestão conservadora; cadastro médico precisa de revisão humana.</x:v>
      </x:c>
      <x:c r="E12" s="21"/>
      <x:c r="F12" s="21"/>
      <x:c r="G12" s="21"/>
      <x:c r="H12" s="21"/>
      <x:c r="I12" s="21"/>
    </x:row>
    <x:row r="13">
      <x:c r="A13" s="12" t="str">
        <x:v>Produtos com dosagem/volume detectado</x:v>
      </x:c>
      <x:c r="B13" s="15" t="n">
        <x:v>292</x:v>
      </x:c>
    </x:row>
    <x:row r="14">
      <x:c r="A14" s="12" t="str">
        <x:v>Produtos com dimensão/calibre detectado</x:v>
      </x:c>
      <x:c r="B14" s="15" t="n">
        <x:v>113</x:v>
      </x:c>
    </x:row>
    <x:row r="15">
      <x:c r="A15" s="12" t="str">
        <x:v>Produtos com embalagem detectada</x:v>
      </x:c>
      <x:c r="B15" s="15" t="n">
        <x:v>477</x:v>
      </x:c>
    </x:row>
  </x:sheetData>
  <x:mergeCells>
    <x:mergeCell ref="A1:I1"/>
    <x:mergeCell ref="A2:I2"/>
    <x:mergeCell ref="D4:I4"/>
    <x:mergeCell ref="D5:I5"/>
    <x:mergeCell ref="D6:I6"/>
    <x:mergeCell ref="D7:I7"/>
    <x:mergeCell ref="D8:I8"/>
    <x:mergeCell ref="D9:I9"/>
    <x:mergeCell ref="D10:I10"/>
    <x:mergeCell ref="D11:I11"/>
    <x:mergeCell ref="D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2" hidden="0" customWidth="1"/>
    <x:col min="5" max="5" width="34" hidden="0" customWidth="1"/>
    <x:col min="6" max="6" width="18" hidden="0" customWidth="1"/>
    <x:col min="7" max="7" width="14" hidden="0" customWidth="1"/>
    <x:col min="8" max="8" width="34" hidden="0" customWidth="1"/>
    <x:col min="9" max="9" width="32" hidden="0" customWidth="1"/>
    <x:col min="10" max="10" width="28" hidden="0" customWidth="1"/>
    <x:col min="11" max="11" width="30" hidden="0" customWidth="1"/>
    <x:col min="12" max="12" width="28" hidden="0" customWidth="1"/>
    <x:col min="13" max="13" width="64" hidden="0" customWidth="1"/>
    <x:col min="14" max="14" width="22" hidden="0" customWidth="1"/>
    <x:col min="15" max="15" width="42" hidden="0" customWidth="1"/>
  </x:cols>
  <x:sheetData>
    <x:row r="1" ht="28" customHeight="1">
      <x:c r="A1" s="3" t="str">
        <x:v>Grupos de produtos semelhantes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Um grupo pode conter produtos realmente diferentes. A decisão recomendada prioriza segurança: separar quando dosagem, volume, dimensão ou apresentação muda.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26" t="str">
        <x:v>Grupo</x:v>
      </x:c>
      <x:c r="B4" s="26" t="str">
        <x:v>Nome_Base</x:v>
      </x:c>
      <x:c r="C4" s="26" t="str">
        <x:v>Qtd_Produtos</x:v>
      </x:c>
      <x:c r="D4" s="26" t="str">
        <x:v>Risco</x:v>
      </x:c>
      <x:c r="E4" s="26" t="str">
        <x:v>Acao_Sugerida</x:v>
      </x:c>
      <x:c r="F4" s="26" t="str">
        <x:v>Varia_Especificacao</x:v>
      </x:c>
      <x:c r="G4" s="26" t="str">
        <x:v>GTIN_Repetido</x:v>
      </x:c>
      <x:c r="H4" s="26" t="str">
        <x:v>Dosagens_Volumes</x:v>
      </x:c>
      <x:c r="I4" s="26" t="str">
        <x:v>Dimensoes_Calibres</x:v>
      </x:c>
      <x:c r="J4" s="26" t="str">
        <x:v>Embalagens</x:v>
      </x:c>
      <x:c r="K4" s="26" t="str">
        <x:v>Marcas</x:v>
      </x:c>
      <x:c r="L4" s="26" t="str">
        <x:v>GTINs</x:v>
      </x:c>
      <x:c r="M4" s="26" t="str">
        <x:v>Exemplos</x:v>
      </x:c>
      <x:c r="N4" s="26" t="str">
        <x:v>Decisao_Manual</x:v>
      </x:c>
      <x:c r="O4" s="26" t="str">
        <x:v>Observacao</x:v>
      </x:c>
    </x:row>
    <x:row r="5">
      <x:c r="A5" s="28" t="str">
        <x:f>"G-295"</x:f>
        <x:v>G-295</x:v>
      </x:c>
      <x:c r="B5" s="22" t="str">
        <x:v>TUBO ENDOTRAQUEAL ARAMADO BALAO</x:v>
      </x:c>
      <x:c r="C5" s="22" t="n">
        <x:v>10</x:v>
      </x:c>
      <x:c r="D5" s="22" t="str">
        <x:v>ALTO</x:v>
      </x:c>
      <x:c r="E5" s="22" t="str">
        <x:v>REVISAR GTIN e manter separado quando especificação mudar</x:v>
      </x:c>
      <x:c r="F5" s="22" t="str">
        <x:v>SIM</x:v>
      </x:c>
      <x:c r="G5" s="22" t="str">
        <x:v>SIM</x:v>
      </x:c>
      <x:c r="H5" s="22" t="str"/>
      <x:c r="I5" s="22" t="str"/>
      <x:c r="J5" s="22" t="str">
        <x:v>CX/25 | CX | CONTEUDO25 | FATOR25 | CX/10 | CX | CONTEUDO10 | FATOR10</x:v>
      </x:c>
      <x:c r="K5" s="22" t="str">
        <x:v>MEDIX | SOLIDOR</x:v>
      </x:c>
      <x:c r="L5" s="28" t="str">
        <x:f>"GTIN: 7898913077164"</x:f>
        <x:v>GTIN: 7898913077164</x:v>
      </x:c>
      <x:c r="M5" s="22" t="str">
        <x:v>TUBO ENDOTRAQUEAL ARAMADO C/BALÃO 3,5 - CX/25 - MEDIX || TUBO ENDOTRAQUEAL ARAMADO C/BALÃO 4,0 - CX/25 - MEDIX || TUBO ENDOTRAQUEAL ARAMADO C/BALÃO 4.5 - CX/25 - MEDIX || TUBO ENDOTRAQUEAL ARAMADO C/BALÃO 5,0 - CX/25 - MEDIX</x:v>
      </x:c>
      <x:c r="N5" s="27" t="str"/>
      <x:c r="O5" s="27" t="str"/>
    </x:row>
    <x:row r="6">
      <x:c r="A6" s="28" t="str">
        <x:f>"G-051"</x:f>
        <x:v>G-051</x:v>
      </x:c>
      <x:c r="B6" s="22" t="str">
        <x:v>CATETER JELCO</x:v>
      </x:c>
      <x:c r="C6" s="22" t="n">
        <x:v>8</x:v>
      </x:c>
      <x:c r="D6" s="22" t="str">
        <x:v>ALTO</x:v>
      </x:c>
      <x:c r="E6" s="22" t="str">
        <x:v>REVISAR GTIN e manter separado quando especificação mudar</x:v>
      </x:c>
      <x:c r="F6" s="22" t="str">
        <x:v>SIM</x:v>
      </x:c>
      <x:c r="G6" s="22" t="str">
        <x:v>SIM</x:v>
      </x:c>
      <x:c r="H6" s="22" t="str">
        <x:v>14G | 16G | 18G | 20G | 22G | 24G</x:v>
      </x:c>
      <x:c r="I6" s="22" t="str">
        <x:v>14G | 16G | 18G | 20G | 22G | 24G</x:v>
      </x:c>
      <x:c r="J6" s="22" t="str">
        <x:v>CX/100 | CX | CONTEUDO100 | FATOR100 | CX | CONTEUDO100 | FATOR100</x:v>
      </x:c>
      <x:c r="K6" s="22" t="str">
        <x:v>DESCARPACK | SEVEN CARE | POLYMED</x:v>
      </x:c>
      <x:c r="L6" s="28" t="str">
        <x:f>"GTIN: 7898283816837 | GTIN: 7898283816844"</x:f>
        <x:v>GTIN: 7898283816837 | GTIN: 7898283816844</x:v>
      </x:c>
      <x:c r="M6" s="22" t="str">
        <x:v>CATETER JELCO 14G - CX/100 - DESCARPACK || CATETER JELCO 16G - CX/100 - DESCARPACK || CATETER JELCO 16G - CX/100 - SEVEN CARE || CATETER JELCO 18G - CX/100 - SEVEN CARE</x:v>
      </x:c>
      <x:c r="N6" s="27" t="str"/>
      <x:c r="O6" s="27" t="str"/>
    </x:row>
    <x:row r="7">
      <x:c r="A7" s="28" t="str">
        <x:f>"G-080"</x:f>
        <x:v>G-080</x:v>
      </x:c>
      <x:c r="B7" s="22" t="str">
        <x:v>CLORETO SODIO</x:v>
      </x:c>
      <x:c r="C7" s="22" t="n">
        <x:v>8</x:v>
      </x:c>
      <x:c r="D7" s="22" t="str">
        <x:v>ALTO</x:v>
      </x:c>
      <x:c r="E7" s="22" t="str">
        <x:v>REVISAR GTIN e manter separado quando especificação mudar</x:v>
      </x:c>
      <x:c r="F7" s="22" t="str">
        <x:v>SIM</x:v>
      </x:c>
      <x:c r="G7" s="22" t="str">
        <x:v>SIM</x:v>
      </x:c>
      <x:c r="H7" s="22" t="str">
        <x:v>1000ML | 100ML | 10ML | 250ML | 500ML</x:v>
      </x:c>
      <x:c r="I7" s="22" t="str"/>
      <x:c r="J7" s="22" t="str">
        <x:v>UN | CX/50 | CX | CONTEUDO50 | FATOR50 | CX/80 | CX | CONTEUDO80 | FATOR80 | FR | CX | CONTEUDO16 | FATOR16 | AP | CX/200 | CX | CONTEUDO200 | FATOR200</x:v>
      </x:c>
      <x:c r="K7" s="22" t="str">
        <x:v>BASAL | FRESENIUS | FARMARIN | EQUIPLEX | ACULIFE</x:v>
      </x:c>
      <x:c r="L7" s="28" t="str">
        <x:f>"GTIN: 7898166040342 | GTIN: 7898179363896 | GTIN: 7898007676235"</x:f>
        <x:v>GTIN: 7898166040342 | GTIN: 7898179363896 | GTIN: 7898007676235</x:v>
      </x:c>
      <x:c r="M7" s="22" t="str">
        <x:v>CLORETO DE SODIO 0,9% 1000ML - BASAL || CLORETO DE SODIO 0,9% 100ML CX/50 - FRESENIUS || CLORETO DE SODIO 0,9% 100ML CX/80 - FRESENIUS || CLORETO DE SODIO 0,9% 100ML FR - FARMARIN</x:v>
      </x:c>
      <x:c r="N7" s="27" t="str"/>
      <x:c r="O7" s="27" t="str"/>
    </x:row>
    <x:row r="8">
      <x:c r="A8" s="28" t="str">
        <x:f>"G-117"</x:f>
        <x:v>G-117</x:v>
      </x:c>
      <x:c r="B8" s="22" t="str">
        <x:v>CONTRASTE NAO IONICO</x:v>
      </x:c>
      <x:c r="C8" s="22" t="n">
        <x:v>6</x:v>
      </x:c>
      <x:c r="D8" s="22" t="str">
        <x:v>ALTO</x:v>
      </x:c>
      <x:c r="E8" s="22" t="str">
        <x:v>REVISAR GTIN e manter separado quando especificação mudar</x:v>
      </x:c>
      <x:c r="F8" s="22" t="str">
        <x:v>SIM</x:v>
      </x:c>
      <x:c r="G8" s="22" t="str">
        <x:v>SIM</x:v>
      </x:c>
      <x:c r="H8" s="22" t="str">
        <x:v>300MG/1000ML | 300MG | 1000ML | 300MG/100ML | 300MG | 100ML | 300MG/50ML | 300MG | 50ML | 100ML</x:v>
      </x:c>
      <x:c r="I8" s="22" t="str"/>
      <x:c r="J8" s="22" t="str">
        <x:v>CX | CONTEUDO1 | FRASCO</x:v>
      </x:c>
      <x:c r="K8" s="22" t="str">
        <x:v>OMNIPAQUE | GE HEALTHCARE | HENETIX</x:v>
      </x:c>
      <x:c r="L8" s="28" t="str">
        <x:f>"GTIN: 7898946550054 | GTIN: 7897322703329 | GTIN: 789759590026 | GTIN: 7897854900838"</x:f>
        <x:v>GTIN: 7898946550054 | GTIN: 7897322703329 | GTIN: 789759590026 | GTIN: 7897854900838</x:v>
      </x:c>
      <x:c r="M8" s="22" t="str">
        <x:v>CONTRASTE NÃO IONICO 300MG/1000ML - OMNIPAQUE || CONTRASTE NÃO IONICO 300MG/100ML - GE HEALTHCARE (OMNIPAQUE) || CONTRASTE NÃO IONICO 300MG/100ML - OMNIPAQUE || CONTRASTE NÃO IONICO 300MG/50ML - OMNIPAQUE</x:v>
      </x:c>
      <x:c r="N8" s="27" t="str"/>
      <x:c r="O8" s="27" t="str"/>
    </x:row>
    <x:row r="9">
      <x:c r="A9" s="28" t="str">
        <x:f>"G-138"</x:f>
        <x:v>G-138</x:v>
      </x:c>
      <x:c r="B9" s="22" t="str">
        <x:v>ENOXAPARINA</x:v>
      </x:c>
      <x:c r="C9" s="22" t="n">
        <x:v>6</x:v>
      </x:c>
      <x:c r="D9" s="22" t="str">
        <x:v>ALTO</x:v>
      </x:c>
      <x:c r="E9" s="22" t="str">
        <x:v>REVISAR GTIN e manter separado quando especificação mudar</x:v>
      </x:c>
      <x:c r="F9" s="22" t="str">
        <x:v>SIM</x:v>
      </x:c>
      <x:c r="G9" s="22" t="str">
        <x:v>SIM</x:v>
      </x:c>
      <x:c r="H9" s="22" t="str">
        <x:v>20MG | 40MG | 60MG | 80MG</x:v>
      </x:c>
      <x:c r="I9" s="22" t="str"/>
      <x:c r="J9" s="22" t="str">
        <x:v>CX/10 | CX | CONTEUDO10 | FATOR10 | CX/02 | CX | CONTEUDO2 | FATOR2</x:v>
      </x:c>
      <x:c r="K9" s="22" t="str">
        <x:v>VIATRIS | CRISTÁLIA | BLAU</x:v>
      </x:c>
      <x:c r="L9" s="28" t="str">
        <x:f>"GTIN: 7898560664939 | GTIN: 7896014671632 | GTIN: 7898560664878"</x:f>
        <x:v>GTIN: 7898560664939 | GTIN: 7896014671632 | GTIN: 7898560664878</x:v>
      </x:c>
      <x:c r="M9" s="22" t="str">
        <x:v>ENOXAPARINA 20MG - CX/10 - VIATRIS || ENOXAPARINA 40MG - CX/10 - CRISTÁLIA || ENOXAPARINA 40MG - CX/10 - VIATRIS || ENOXAPARINA 60MG - CX/02 - BLAU</x:v>
      </x:c>
      <x:c r="N9" s="27" t="str"/>
      <x:c r="O9" s="27" t="str"/>
    </x:row>
    <x:row r="10">
      <x:c r="A10" s="28" t="str">
        <x:f>"G-112"</x:f>
        <x:v>G-112</x:v>
      </x:c>
      <x:c r="B10" s="22" t="str">
        <x:v>COMPRESSAS GAZE ESTERIL</x:v>
      </x:c>
      <x:c r="C10" s="22" t="n">
        <x:v>5</x:v>
      </x:c>
      <x:c r="D10" s="22" t="str">
        <x:v>ALTO</x:v>
      </x:c>
      <x:c r="E10" s="22" t="str">
        <x:v>REVISAR GTIN e manter separado quando especificação mudar</x:v>
      </x:c>
      <x:c r="F10" s="22" t="str">
        <x:v>SIM</x:v>
      </x:c>
      <x:c r="G10" s="22" t="str">
        <x:v>SIM</x:v>
      </x:c>
      <x:c r="H10" s="22" t="str"/>
      <x:c r="I10" s="22" t="str">
        <x:v>7,5X7,5 | 11FIOS | 7,5X7,5 | 13FIOS</x:v>
      </x:c>
      <x:c r="J10" s="22" t="str">
        <x:v>PCT/5 | PCT | CONTEUDO5 | FATOR5 | PCT/05 | PCT | CONTEUDO5 | FATOR5 | PCT/10 | PCT | CONTEUDO10 | FATOR10</x:v>
      </x:c>
      <x:c r="K10" s="22" t="str">
        <x:v>AMED | BELA INDUS | NEVE | FORTCLEAN</x:v>
      </x:c>
      <x:c r="L10" s="28" t="str">
        <x:f>"GTIN: 7898125712174"</x:f>
        <x:v>GTIN: 7898125712174</x:v>
      </x:c>
      <x:c r="M10" s="22" t="str">
        <x:v>COMPRESSAS DE GAZE 7,5 X 7,5 11 FIOS ESTERIL - PCT/5 - AMED || COMPRESSAS DE GAZE 7,5 X 7,5 11 FIOS ESTERIL - PCT/5 - BELA INDUS || COMPRESSAS DE GAZE 7,5 X 7,5 13 FIOS ESTERIL - PCT/05 - NEVE || COMPRESSAS DE GAZE 7,5 X 7,5 13 FIOS ESTERIL - PCT/10 - FORTCLEAN</x:v>
      </x:c>
      <x:c r="N10" s="27" t="str"/>
      <x:c r="O10" s="27" t="str"/>
    </x:row>
    <x:row r="11">
      <x:c r="A11" s="28" t="str">
        <x:f>"G-250"</x:f>
        <x:v>G-250</x:v>
      </x:c>
      <x:c r="B11" s="22" t="str">
        <x:v>ROPIVACAINA</x:v>
      </x:c>
      <x:c r="C11" s="22" t="n">
        <x:v>5</x:v>
      </x:c>
      <x:c r="D11" s="22" t="str">
        <x:v>ALTO</x:v>
      </x:c>
      <x:c r="E11" s="22" t="str">
        <x:v>REVISAR GTIN e manter separado quando especificação mudar</x:v>
      </x:c>
      <x:c r="F11" s="22" t="str">
        <x:v>SIM</x:v>
      </x:c>
      <x:c r="G11" s="22" t="str">
        <x:v>SIM</x:v>
      </x:c>
      <x:c r="H11" s="22" t="str">
        <x:v>10MG/ML | 10MG | 20ML | 7,5MG/1ML | 7,5MG | 1ML | 7,5MG/20ML | 7,5MG | 20ML</x:v>
      </x:c>
      <x:c r="I11" s="22" t="str"/>
      <x:c r="J11" s="22" t="str">
        <x:v>CX/25 | CX | CONTEUDO25 | FATOR25</x:v>
      </x:c>
      <x:c r="K11" s="22" t="str">
        <x:v>TEUTO | HYPOFARMA | HYPOLAB</x:v>
      </x:c>
      <x:c r="L11" s="28" t="str">
        <x:f>"GTIN: 7898122913864 | GTIN: 7897406119817 | GTIN: 7898122913833"</x:f>
        <x:v>GTIN: 7898122913864 | GTIN: 7897406119817 | GTIN: 7898122913833</x:v>
      </x:c>
      <x:c r="M11" s="22" t="str">
        <x:v>ROPIVACAINA 10MG/ML 20ML - CX/25 - TEUTO || ROPIVACAINA 7,5MG/1ML CX/25 HYPOFARMA || ROPIVACAINA 7,5MG/20ML - CX/25 - HYPOFARMA || ROPIVACAINA 7,5MG/20ML - CX/25 - HYPOLAB</x:v>
      </x:c>
      <x:c r="N11" s="27" t="str"/>
      <x:c r="O11" s="27" t="str"/>
    </x:row>
    <x:row r="12">
      <x:c r="A12" s="28" t="str">
        <x:f>"G-001"</x:f>
        <x:v>G-001</x:v>
      </x:c>
      <x:c r="B12" s="22" t="str">
        <x:v>ACIDO TRANEXAMICO</x:v>
      </x:c>
      <x:c r="C12" s="22" t="n">
        <x:v>4</x:v>
      </x:c>
      <x:c r="D12" s="22" t="str">
        <x:v>ALTO</x:v>
      </x:c>
      <x:c r="E12" s="22" t="str">
        <x:v>REVISAR GTIN e manter separado quando especificação mudar</x:v>
      </x:c>
      <x:c r="F12" s="22" t="str">
        <x:v>SIM</x:v>
      </x:c>
      <x:c r="G12" s="22" t="str">
        <x:v>SIM</x:v>
      </x:c>
      <x:c r="H12" s="22" t="str">
        <x:v>250MG/5ML | 250MG | 5ML | 50MG/5ML | 50MG | 5ML</x:v>
      </x:c>
      <x:c r="I12" s="22" t="str"/>
      <x:c r="J12" s="22" t="str">
        <x:v>CX/50 | CX | CONTEUDO50 | FATOR50 | CX/100 | CX | CONTEUDO100 | FATOR100 | CX/5 | CX | CONTEUDO5 | FATOR5</x:v>
      </x:c>
      <x:c r="K12" s="22" t="str">
        <x:v>ZYDUS | HIPOLABOR | ZIDUS | BLAU</x:v>
      </x:c>
      <x:c r="L12" s="28" t="str">
        <x:f>"GTIN: 7897460400364"</x:f>
        <x:v>GTIN: 7897460400364</x:v>
      </x:c>
      <x:c r="M12" s="22" t="str">
        <x:v>ACIDO TRANEXAMICO 250MG/5ML - CX/50 - ZYDUS || ACIDO TRANEXAMICO 50MG/5ML - CX/100 - HIPOLABOR (TRANSAMIN) || ACIDO TRANEXAMICO 50MG/5ML - CX/5 - ZIDUS (TRANSAMIN) || ACIDO TRANEXAMICO 50MG/5ML - CX/50 - BLAU (TRANSAMIN)</x:v>
      </x:c>
      <x:c r="N12" s="27" t="str"/>
      <x:c r="O12" s="27" t="str"/>
    </x:row>
    <x:row r="13">
      <x:c r="A13" s="28" t="str">
        <x:f>"G-069"</x:f>
        <x:v>G-069</x:v>
      </x:c>
      <x:c r="B13" s="22" t="str">
        <x:v>CITRATO FENTANILA</x:v>
      </x:c>
      <x:c r="C13" s="22" t="n">
        <x:v>4</x:v>
      </x:c>
      <x:c r="D13" s="22" t="str">
        <x:v>ALTO</x:v>
      </x:c>
      <x:c r="E13" s="22" t="str">
        <x:v>REVISAR GTIN e manter separado quando especificação mudar</x:v>
      </x:c>
      <x:c r="F13" s="22" t="str">
        <x:v>SIM</x:v>
      </x:c>
      <x:c r="G13" s="22" t="str">
        <x:v>SIM</x:v>
      </x:c>
      <x:c r="H13" s="22" t="str">
        <x:v>0,05MG/ML | 0,05MG | 2ML | 0,05MG | 10ML</x:v>
      </x:c>
      <x:c r="I13" s="22" t="str"/>
      <x:c r="J13" s="22" t="str">
        <x:v>AP | CX/25 | CX | CONTEUDO25 | FATOR25 | AP | CX/50 | CX | CONTEUDO50 | FATOR50 | CX/25 | CX | CONTEUDO25 | FATOR25</x:v>
      </x:c>
      <x:c r="K13" s="22" t="str">
        <x:v>CRISTÁLIA | HIPOLABOR | UNIÃO QUÍMICA</x:v>
      </x:c>
      <x:c r="L13" s="28" t="str">
        <x:f>"GTIN: 7896676437850"</x:f>
        <x:v>GTIN: 7896676437850</x:v>
      </x:c>
      <x:c r="M13" s="22" t="str">
        <x:v>CITRATO DE FENTANILA 0,05MG/ML 2ML AP - CX/25 - CRISTÁLIA || CITRATO DE FENTANILA 0,05MG/ML 2ML AP CX/25 - HIPOLABOR || CITRATO DE FENTANILA 0,05MG/ML 2ML AP CX/50 - HIPOLABOR || CITRATO DE FENTANILA 10ML/0,05MG - CX/25 - UNIÃO QUÍMICA</x:v>
      </x:c>
      <x:c r="N13" s="27" t="str"/>
      <x:c r="O13" s="27" t="str"/>
    </x:row>
    <x:row r="14">
      <x:c r="A14" s="28" t="str">
        <x:f>"G-247"</x:f>
        <x:v>G-247</x:v>
      </x:c>
      <x:c r="B14" s="22" t="str">
        <x:v>PROPOFOL</x:v>
      </x:c>
      <x:c r="C14" s="22" t="n">
        <x:v>4</x:v>
      </x:c>
      <x:c r="D14" s="22" t="str">
        <x:v>ALTO</x:v>
      </x:c>
      <x:c r="E14" s="22" t="str">
        <x:v>REVISAR GTIN e manter separado quando especificação mudar</x:v>
      </x:c>
      <x:c r="F14" s="22" t="str">
        <x:v>SIM</x:v>
      </x:c>
      <x:c r="G14" s="22" t="str">
        <x:v>SIM</x:v>
      </x:c>
      <x:c r="H14" s="22" t="str">
        <x:v>10MG/ML | 10MG | 20ML | 10MG/20ML | 10MG | 20ML | 20ML</x:v>
      </x:c>
      <x:c r="I14" s="22" t="str"/>
      <x:c r="J14" s="22" t="str">
        <x:v>CX/10 | CX | CONTEUDO10 | FATOR10 | CX/5 | CX | CONTEUDO5 | FATOR5</x:v>
      </x:c>
      <x:c r="K14" s="22" t="str">
        <x:v>CRISTÁLIA | BAXTER | MIDFARMA | B BRAUN</x:v>
      </x:c>
      <x:c r="L14" s="28" t="str">
        <x:f>"GTIN: 8907730022574 | GTIN: 7896112105312 | GTIN: 04030539005951"</x:f>
        <x:v>GTIN: 8907730022574 | GTIN: 7896112105312 | GTIN: 04030539005951</x:v>
      </x:c>
      <x:c r="M14" s="22" t="str">
        <x:v>PROPOFOL 1% 10MG/ML 20ML - CX/10 - CRISTÁLIA || PROPOFOL 1% 10MG/ML 20ML - CX/5 - BAXTER || PROPOFOL 10MG/20ML - CX/5 - MIDFARMA || PROPOFOL 20ML B BRAUN CX/5</x:v>
      </x:c>
      <x:c r="N14" s="27" t="str"/>
      <x:c r="O14" s="27" t="str"/>
    </x:row>
    <x:row r="15">
      <x:c r="A15" s="28" t="str">
        <x:f>"G-287"</x:f>
        <x:v>G-287</x:v>
      </x:c>
      <x:c r="B15" s="22" t="str">
        <x:v>SULFATO NEOMICINA BACITRACINA ZINCICA G</x:v>
      </x:c>
      <x:c r="C15" s="22" t="n">
        <x:v>4</x:v>
      </x:c>
      <x:c r="D15" s="22" t="str">
        <x:v>ALTO</x:v>
      </x:c>
      <x:c r="E15" s="22" t="str">
        <x:v>REVISAR GTIN e manter separado quando especificação mudar</x:v>
      </x:c>
      <x:c r="F15" s="22" t="str">
        <x:v>SIM</x:v>
      </x:c>
      <x:c r="G15" s="22" t="str">
        <x:v>SIM</x:v>
      </x:c>
      <x:c r="H15" s="22" t="str">
        <x:v>5MG/G | 5MG | 250UI | 10G | 5MG/G | 5MG | 250UI | 15G</x:v>
      </x:c>
      <x:c r="I15" s="22" t="str">
        <x:v>10G | 15G</x:v>
      </x:c>
      <x:c r="J15" s="22" t="str">
        <x:v>UND</x:v>
      </x:c>
      <x:c r="K15" s="22" t="str">
        <x:v>ALTEFAR | MEDLEY | PRATI</x:v>
      </x:c>
      <x:c r="L15" s="28" t="str">
        <x:f>"GTIN: 7897917004992 | GTIN: 04136033"</x:f>
        <x:v>GTIN: 7897917004992 | GTIN: 04136033</x:v>
      </x:c>
      <x:c r="M15" s="22" t="str">
        <x:v>SULFATO DE NEOMICINA 5MG/G + BACITRACINA ZINCICA 250UI/G 10G - ALTEFAR || SULFATO DE NEOMICINA 5MG/G + BACITRACINA ZINCICA 250UI/G 15G ALTEFAR || SULFATO DE NEOMICINA 5MG/G + BACITRACINA ZINCICA 250UI/G 15G MEDLEY || SULFATO DE NEOMICINA 5MG/G + BACITRACINA ZINCICA 250UI/G 15G PRATI</x:v>
      </x:c>
      <x:c r="N15" s="27" t="str"/>
      <x:c r="O15" s="27" t="str"/>
    </x:row>
    <x:row r="16">
      <x:c r="A16" s="28" t="str">
        <x:f>"G-021"</x:f>
        <x:v>G-021</x:v>
      </x:c>
      <x:c r="B16" s="22" t="str">
        <x:v>AMOXICILINA CLAVULANATO</x:v>
      </x:c>
      <x:c r="C16" s="22" t="n">
        <x:v>3</x:v>
      </x:c>
      <x:c r="D16" s="22" t="str">
        <x:v>ALTO</x:v>
      </x:c>
      <x:c r="E16" s="22" t="str">
        <x:v>REVISAR GTIN e manter separado quando especificação mudar</x:v>
      </x:c>
      <x:c r="F16" s="22" t="str">
        <x:v>SIM</x:v>
      </x:c>
      <x:c r="G16" s="22" t="str">
        <x:v>SIM</x:v>
      </x:c>
      <x:c r="H16" s="22" t="str">
        <x:v>1000MG | 200MG | 1G | 200MG</x:v>
      </x:c>
      <x:c r="I16" s="22" t="str">
        <x:v>1G</x:v>
      </x:c>
      <x:c r="J16" s="22" t="str">
        <x:v>CX/20 | CX | CONTEUDO20 | FATOR20 | CX/10 | CX | CONTEUDO10 | FATOR10</x:v>
      </x:c>
      <x:c r="K16" s="22" t="str">
        <x:v>BLAU | EUGIA | EUROFARMA</x:v>
      </x:c>
      <x:c r="L16" s="28" t="str">
        <x:f>"GTIN: 7891317003371 | GTIN: 7898739420304"</x:f>
        <x:v>GTIN: 7891317003371 | GTIN: 7898739420304</x:v>
      </x:c>
      <x:c r="M16" s="22" t="str">
        <x:v>AMOXICILINA + CLAVULANATO 1000MG + 200MG - CX/20 - BLAU || AMOXICILINA + CLAVULANATO 1G + 200MG - CX/10 - EUGIA || AMOXICILINA + CLAVULANATO 1G + 200MG - CX/10 - EUROFARMA</x:v>
      </x:c>
      <x:c r="N16" s="27" t="str"/>
      <x:c r="O16" s="27" t="str"/>
    </x:row>
    <x:row r="17">
      <x:c r="A17" s="28" t="str">
        <x:f>"G-068"</x:f>
        <x:v>G-068</x:v>
      </x:c>
      <x:c r="B17" s="22" t="str">
        <x:v>CIPROFLOXACINO</x:v>
      </x:c>
      <x:c r="C17" s="22" t="n">
        <x:v>3</x:v>
      </x:c>
      <x:c r="D17" s="22" t="str">
        <x:v>ALTO</x:v>
      </x:c>
      <x:c r="E17" s="22" t="str">
        <x:v>REVISAR GTIN e manter separado quando especificação mudar</x:v>
      </x:c>
      <x:c r="F17" s="22" t="str">
        <x:v>SIM</x:v>
      </x:c>
      <x:c r="G17" s="22" t="str">
        <x:v>SIM</x:v>
      </x:c>
      <x:c r="H17" s="22" t="str">
        <x:v>2MG/100ML | 2MG | 100ML</x:v>
      </x:c>
      <x:c r="I17" s="22" t="str"/>
      <x:c r="J17" s="22" t="str">
        <x:v>CX/60 | CX | CONTEUDO60 | FATOR60 | CX/80 | CX | CONTEUDO80 | FATOR80</x:v>
      </x:c>
      <x:c r="K17" s="22" t="str">
        <x:v>HALEXISTAR | FRESENIUS | ISOFARMA</x:v>
      </x:c>
      <x:c r="L17" s="28" t="str">
        <x:f>"GTIN: 7897947708754"</x:f>
        <x:v>GTIN: 7897947708754</x:v>
      </x:c>
      <x:c r="M17" s="22" t="str">
        <x:v>CIPROFLOXACINO 2MG/100ML - CX/60 - HALEXISTAR || CIPROFLOXACINO 2MG/100ML - CX/80 - FRESENIUS || CIPROFLOXACINO 2MG/100ML CX/60 - ISOFARMA</x:v>
      </x:c>
      <x:c r="N17" s="27" t="str"/>
      <x:c r="O17" s="27" t="str"/>
    </x:row>
    <x:row r="18">
      <x:c r="A18" s="28" t="str">
        <x:f>"G-092"</x:f>
        <x:v>G-092</x:v>
      </x:c>
      <x:c r="B18" s="22" t="str">
        <x:v>CLORIDRATO DEXMEDETOMIDINA</x:v>
      </x:c>
      <x:c r="C18" s="22" t="n">
        <x:v>3</x:v>
      </x:c>
      <x:c r="D18" s="22" t="str">
        <x:v>ALTO</x:v>
      </x:c>
      <x:c r="E18" s="22" t="str">
        <x:v>REVISAR GTIN e manter separado quando especificação mudar</x:v>
      </x:c>
      <x:c r="F18" s="22" t="str">
        <x:v>SIM</x:v>
      </x:c>
      <x:c r="G18" s="22" t="str">
        <x:v>SIM</x:v>
      </x:c>
      <x:c r="H18" s="22" t="str">
        <x:v>100MCG/2ML | 100MCG | 2ML</x:v>
      </x:c>
      <x:c r="I18" s="22" t="str"/>
      <x:c r="J18" s="22" t="str">
        <x:v>CX/05 | CX5 | CX/5 | CX | CONTEUDO5 | FATOR5 | CX/5 | CX5</x:v>
      </x:c>
      <x:c r="K18" s="22" t="str">
        <x:v>VOLPHARMA | CRISTÁLIA</x:v>
      </x:c>
      <x:c r="L18" s="28" t="str">
        <x:f>"GTIN: 7898958337049 | GTIN: 7896676435054"</x:f>
        <x:v>GTIN: 7898958337049 | GTIN: 7896676435054</x:v>
      </x:c>
      <x:c r="M18" s="22" t="str">
        <x:v>CLORIDRATO DE DEXMEDETOMIDINA (PRECEDEX) 100MCG/2ML - CX/05 - VOLPHARMA || CLORIDRATO DE DEXMEDETOMIDINA 100MCG/2ML - CX/5 - CRISTÁLIA (PRECEDEX) || CLORIDRATO DE DEXMEDETOMIDINA 100MCG/2ML - CX/5 - VOLPHARMA (PRECEDEX)</x:v>
      </x:c>
      <x:c r="N18" s="27" t="str"/>
      <x:c r="O18" s="27" t="str"/>
    </x:row>
    <x:row r="19">
      <x:c r="A19" s="28" t="str">
        <x:f>"G-198"</x:f>
        <x:v>G-198</x:v>
      </x:c>
      <x:c r="B19" s="22" t="str">
        <x:v>LIDOCAINA SV</x:v>
      </x:c>
      <x:c r="C19" s="22" t="n">
        <x:v>3</x:v>
      </x:c>
      <x:c r="D19" s="22" t="str">
        <x:v>ALTO</x:v>
      </x:c>
      <x:c r="E19" s="22" t="str">
        <x:v>REVISAR GTIN e manter separado quando especificação mudar</x:v>
      </x:c>
      <x:c r="F19" s="22" t="str">
        <x:v>SIM</x:v>
      </x:c>
      <x:c r="G19" s="22" t="str">
        <x:v>SIM</x:v>
      </x:c>
      <x:c r="H19" s="22" t="str">
        <x:v>20ML | 20MG/ML | 20MG</x:v>
      </x:c>
      <x:c r="I19" s="22" t="str"/>
      <x:c r="J19" s="22" t="str">
        <x:v>CX/25 | CX25 | CX/10 | CX | CONTEUDO10 | FATOR10 | CX/25 | CX | CONTEUDO25 | FATOR25</x:v>
      </x:c>
      <x:c r="K19" s="22" t="str">
        <x:v>CRISTÁLIA | CRISTALIA | HIPOLABOR</x:v>
      </x:c>
      <x:c r="L19" s="28" t="str">
        <x:f>"GTIN: 07896676400649 | GTIN: 7896676400663"</x:f>
        <x:v>GTIN: 07896676400649 | GTIN: 7896676400663</x:v>
      </x:c>
      <x:c r="M19" s="22" t="str">
        <x:v>LIDOCAINA 1% 20ML SV CX/25 - CRISTÁLIA || LIDOCAINA 2% 20MG/ML SV - CX/10 - CRISTALIA || LIDOCAINA 2% 20MG/ML SV - CX/25 - HIPOLABOR</x:v>
      </x:c>
      <x:c r="N19" s="27" t="str"/>
      <x:c r="O19" s="27" t="str"/>
    </x:row>
    <x:row r="20">
      <x:c r="A20" s="28" t="str">
        <x:f>"G-221"</x:f>
        <x:v>G-221</x:v>
      </x:c>
      <x:c r="B20" s="22" t="str">
        <x:v>MEROPENEM BIO CHIMICO</x:v>
      </x:c>
      <x:c r="C20" s="22" t="n">
        <x:v>3</x:v>
      </x:c>
      <x:c r="D20" s="22" t="str">
        <x:v>ALTO</x:v>
      </x:c>
      <x:c r="E20" s="22" t="str">
        <x:v>REVISAR GTIN e manter separado quando especificação mudar</x:v>
      </x:c>
      <x:c r="F20" s="22" t="str">
        <x:v>SIM</x:v>
      </x:c>
      <x:c r="G20" s="22" t="str">
        <x:v>SIM</x:v>
      </x:c>
      <x:c r="H20" s="22" t="str">
        <x:v>1G | 500MG</x:v>
      </x:c>
      <x:c r="I20" s="22" t="str">
        <x:v>1G</x:v>
      </x:c>
      <x:c r="J20" s="22" t="str">
        <x:v>CX/25 | CX | CONTEUDO25 | FATOR25 | CX/10 | CX | CONTEUDO10 | FATOR10 | CX/25 | CX | CONTEUDO10 | FATOR10</x:v>
      </x:c>
      <x:c r="K20" s="22" t="str">
        <x:v>BIOCHIMICO</x:v>
      </x:c>
      <x:c r="L20" s="28" t="str">
        <x:f>"GTIN: 7897406111590"</x:f>
        <x:v>GTIN: 7897406111590</x:v>
      </x:c>
      <x:c r="M20" s="22" t="str">
        <x:v>MEROPENEM 1G - CX/25 - BIO CHIMICO || MEROPENEM 500MG - CX/10 - BIO CHIMICO || MEROPENEM 500MG - CX/25 - BIO CHIMICO</x:v>
      </x:c>
      <x:c r="N20" s="27" t="str"/>
      <x:c r="O20" s="27" t="str"/>
    </x:row>
    <x:row r="21">
      <x:c r="A21" s="28" t="str">
        <x:f>"G-009"</x:f>
        <x:v>G-009</x:v>
      </x:c>
      <x:c r="B21" s="22" t="str">
        <x:v>AGUA PARA INJECAO</x:v>
      </x:c>
      <x:c r="C21" s="22" t="n">
        <x:v>2</x:v>
      </x:c>
      <x:c r="D21" s="22" t="str">
        <x:v>ALTO</x:v>
      </x:c>
      <x:c r="E21" s="22" t="str">
        <x:v>REVISAR GTIN e manter separado quando especificação mudar</x:v>
      </x:c>
      <x:c r="F21" s="22" t="str">
        <x:v>SIM</x:v>
      </x:c>
      <x:c r="G21" s="22" t="str">
        <x:v>SIM</x:v>
      </x:c>
      <x:c r="H21" s="22" t="str">
        <x:v>10ML | 500ML</x:v>
      </x:c>
      <x:c r="I21" s="22" t="str"/>
      <x:c r="J21" s="22" t="str">
        <x:v>CX/200 | CX | CONTEUDO200 | FATOR200 | CX/50 | CX | CONTEUDO50 | FATOR50</x:v>
      </x:c>
      <x:c r="K21" s="22" t="str">
        <x:v>FARMACE | FRESENIUS</x:v>
      </x:c>
      <x:c r="L21" s="28" t="str">
        <x:f>"GTIN: 7898179363896"</x:f>
        <x:v>GTIN: 7898179363896</x:v>
      </x:c>
      <x:c r="M21" s="22" t="str">
        <x:v>ÁGUA PARA INJEÇÃO 10ML - FARMACE CX/200 || ÁGUA PARA INJEÇÃO 500ML - CX/50 - FRESENIUS</x:v>
      </x:c>
      <x:c r="N21" s="27" t="str"/>
      <x:c r="O21" s="27" t="str"/>
    </x:row>
    <x:row r="22">
      <x:c r="A22" s="28" t="str">
        <x:f>"G-071"</x:f>
        <x:v>G-071</x:v>
      </x:c>
      <x:c r="B22" s="22" t="str">
        <x:v>CITRATO FENTANILA FENTANEST</x:v>
      </x:c>
      <x:c r="C22" s="22" t="n">
        <x:v>2</x:v>
      </x:c>
      <x:c r="D22" s="22" t="str">
        <x:v>ALTO</x:v>
      </x:c>
      <x:c r="E22" s="22" t="str">
        <x:v>REVISAR GTIN e manter separado quando especificação mudar</x:v>
      </x:c>
      <x:c r="F22" s="22" t="str">
        <x:v>SIM</x:v>
      </x:c>
      <x:c r="G22" s="22" t="str">
        <x:v>SIM</x:v>
      </x:c>
      <x:c r="H22" s="22" t="str">
        <x:v>0,0785MG/ML | 0,05MG/ML | 0,0785MG | 0,05MG | 10ML | 0,0785MG/ML | 0,05MG/ML | 0,0785MG | 0,05MG</x:v>
      </x:c>
      <x:c r="I22" s="22" t="str"/>
      <x:c r="J22" s="22" t="str">
        <x:v>CX/25 | UN</x:v>
      </x:c>
      <x:c r="K22" s="22" t="str">
        <x:v>CRISTÁLIA</x:v>
      </x:c>
      <x:c r="L22" s="28" t="str">
        <x:f>"GTIN: 7896676429350"</x:f>
        <x:v>GTIN: 7896676429350</x:v>
      </x:c>
      <x:c r="M22" s="22" t="str">
        <x:v>CITRATO DE FENTANILA FENTANEST 0,0785MG/ML 0,05 MG/ML 10ML CX/25 - CRISTÁLIA || CITRATO DE FENTANILA FENTANEST 0,0785MG/ML 0,05 MG/ML CX/25 - CRISTÁLIA</x:v>
      </x:c>
      <x:c r="N22" s="27" t="str"/>
      <x:c r="O22" s="27" t="str"/>
    </x:row>
    <x:row r="23">
      <x:c r="A23" s="28" t="str">
        <x:f>"G-087"</x:f>
        <x:v>G-087</x:v>
      </x:c>
      <x:c r="B23" s="22" t="str">
        <x:v>CLORIDRATO AMIODARONA</x:v>
      </x:c>
      <x:c r="C23" s="22" t="n">
        <x:v>2</x:v>
      </x:c>
      <x:c r="D23" s="22" t="str">
        <x:v>ALTO</x:v>
      </x:c>
      <x:c r="E23" s="22" t="str">
        <x:v>REVISAR GTIN e manter separado quando especificação mudar</x:v>
      </x:c>
      <x:c r="F23" s="22" t="str">
        <x:v>SIM</x:v>
      </x:c>
      <x:c r="G23" s="22" t="str">
        <x:v>SIM</x:v>
      </x:c>
      <x:c r="H23" s="22" t="str">
        <x:v>50MG/ML | 50MG | 50MG/ML | 50MG | 3ML</x:v>
      </x:c>
      <x:c r="I23" s="22" t="str"/>
      <x:c r="J23" s="22" t="str">
        <x:v>CX/100 | CX | CONTEUDO100 | FATOR100 | FR | CX/50 | CX | CONTEUDO50 | FATOR50</x:v>
      </x:c>
      <x:c r="K23" s="22" t="str">
        <x:v>HIPOLABOR | FRESENIUS</x:v>
      </x:c>
      <x:c r="L23" s="28" t="str">
        <x:f>"GTIN: 7898123907749"</x:f>
        <x:v>GTIN: 7898123907749</x:v>
      </x:c>
      <x:c r="M23" s="22" t="str">
        <x:v>CLORIDRATO DE AMIODARONA 50MG/ML - CX/100 - HIPOLABOR || CLORIDRATO DE AMIODARONA 50MG/ML 3ML FR - CX/50 - FRESENIUS</x:v>
      </x:c>
      <x:c r="N23" s="27" t="str"/>
      <x:c r="O23" s="27" t="str"/>
    </x:row>
    <x:row r="24">
      <x:c r="A24" s="28" t="str">
        <x:f>"G-093"</x:f>
        <x:v>G-093</x:v>
      </x:c>
      <x:c r="B24" s="22" t="str">
        <x:v>CLORIDRATO DOBUTAMINA</x:v>
      </x:c>
      <x:c r="C24" s="22" t="n">
        <x:v>2</x:v>
      </x:c>
      <x:c r="D24" s="22" t="str">
        <x:v>ALTO</x:v>
      </x:c>
      <x:c r="E24" s="22" t="str">
        <x:v>REVISAR GTIN e manter separado quando especificação mudar</x:v>
      </x:c>
      <x:c r="F24" s="22" t="str">
        <x:v>SIM</x:v>
      </x:c>
      <x:c r="G24" s="22" t="str">
        <x:v>SIM</x:v>
      </x:c>
      <x:c r="H24" s="22" t="str">
        <x:v>250MG/20ML | 250MG | 20ML</x:v>
      </x:c>
      <x:c r="I24" s="22" t="str"/>
      <x:c r="J24" s="22" t="str">
        <x:v>CX/10 | CX | CONTEUDO10 | FATOR10 | CX/50 | CX | CONTEUDO50 | FATOR50</x:v>
      </x:c>
      <x:c r="K24" s="22" t="str">
        <x:v>HYPOFARMA | TEUTO</x:v>
      </x:c>
      <x:c r="L24" s="28" t="str">
        <x:f>"GTIN: 7898123905905"</x:f>
        <x:v>GTIN: 7898123905905</x:v>
      </x:c>
      <x:c r="M24" s="22" t="str">
        <x:v>CLORIDRATO DE DOBUTAMINA 250MG/20ML CX/10 - HYPOFARMA || CLORIDRATO DE DOBUTAMINA 250MG/20ML CX/50 - TEUTO</x:v>
      </x:c>
      <x:c r="N24" s="27" t="str"/>
      <x:c r="O24" s="27" t="str"/>
    </x:row>
    <x:row r="25">
      <x:c r="A25" s="28" t="str">
        <x:f>"G-263"</x:f>
        <x:v>G-263</x:v>
      </x:c>
      <x:c r="B25" s="22" t="str">
        <x:v>SERINGA AG LUER LOCK</x:v>
      </x:c>
      <x:c r="C25" s="22" t="n">
        <x:v>2</x:v>
      </x:c>
      <x:c r="D25" s="22" t="str">
        <x:v>ALTO</x:v>
      </x:c>
      <x:c r="E25" s="22" t="str">
        <x:v>REVISAR GTIN e manter separado quando especificação mudar</x:v>
      </x:c>
      <x:c r="F25" s="22" t="str">
        <x:v>SIM</x:v>
      </x:c>
      <x:c r="G25" s="22" t="str">
        <x:v>SIM</x:v>
      </x:c>
      <x:c r="H25" s="22" t="str">
        <x:v>20ML | 5ML</x:v>
      </x:c>
      <x:c r="I25" s="22" t="str"/>
      <x:c r="J25" s="22" t="str">
        <x:v>CX/250 | CX | CONTEUDO250 | FATOR250 | CX/500 | CX | CONTEUDO500 | FATOR500</x:v>
      </x:c>
      <x:c r="K25" s="22" t="str">
        <x:v>SR</x:v>
      </x:c>
      <x:c r="L25" s="28" t="str">
        <x:f>"GTIN: 17842826200017"</x:f>
        <x:v>GTIN: 17842826200017</x:v>
      </x:c>
      <x:c r="M25" s="22" t="str">
        <x:v>SERINGA 20ML S/AG LUER LOCK - CX/250 - SR || SERINGA 5ML S/AG LUER LOCK - CX/500 - SR</x:v>
      </x:c>
      <x:c r="N25" s="27" t="str"/>
      <x:c r="O25" s="27" t="str"/>
    </x:row>
    <x:row r="26">
      <x:c r="A26" s="28" t="str">
        <x:f>"G-011"</x:f>
        <x:v>G-011</x:v>
      </x:c>
      <x:c r="B26" s="22" t="str">
        <x:v>AGULHA</x:v>
      </x:c>
      <x:c r="C26" s="22" t="n">
        <x:v>6</x:v>
      </x:c>
      <x:c r="D26" s="22" t="str">
        <x:v>MÉDIO</x:v>
      </x:c>
      <x:c r="E26" s="22" t="str">
        <x:v>MANTER VARIANTES separadas por dosagem/volume/dimensão/apresentação</x:v>
      </x:c>
      <x:c r="F26" s="22" t="str">
        <x:v>SIM</x:v>
      </x:c>
      <x:c r="G26" s="22" t="str">
        <x:v>NÃO</x:v>
      </x:c>
      <x:c r="H26" s="22" t="str"/>
      <x:c r="I26" s="22" t="str">
        <x:v>20X0,55MM | 20X5,5MM | 24GX3/4 | 25X0,7MM | 30X0,8MM | 30X7,0MM | 40X12 | 18GX1-1/2</x:v>
      </x:c>
      <x:c r="J26" s="22" t="str">
        <x:v>CX/100 | CX | CONTEUDO100 | FATOR100</x:v>
      </x:c>
      <x:c r="K26" s="22" t="str">
        <x:v>LABOR IMPORT | DESCARPACK | SOLIDOR | SR | WILTEX</x:v>
      </x:c>
      <x:c r="L26" s="28" t="str">
        <x:f>"GTIN: 7898547244789 | GTIN: 7898547240903 | GTIN: 818392017915 | GTIN: 17898157724807 | GTIN: 7898283814246"</x:f>
        <x:v>GTIN: 7898547244789 | GTIN: 7898547240903 | GTIN: 818392017915 | GTIN: 17898157724807 | GTIN: 7898283814246</x:v>
      </x:c>
      <x:c r="M26" s="22" t="str">
        <x:v>AGULHA 20X0,55MM CX/100 LABOR IMPORT || AGULHA 20X5,5MM (24GX3/4) CX/100 - DESCARPACK || AGULHA 25X0,7MM CX/100 SOLIDOR || AGULHA 30X0,8MM CX/100 SOLIDOR</x:v>
      </x:c>
      <x:c r="N26" s="27" t="str"/>
      <x:c r="O26" s="27" t="str"/>
    </x:row>
    <x:row r="27">
      <x:c r="A27" s="28" t="str">
        <x:f>"G-228"</x:f>
        <x:v>G-228</x:v>
      </x:c>
      <x:c r="B27" s="22" t="str">
        <x:v>MIDAZOLAM</x:v>
      </x:c>
      <x:c r="C27" s="22" t="n">
        <x:v>5</x:v>
      </x:c>
      <x:c r="D27" s="22" t="str">
        <x:v>MÉDIO</x:v>
      </x:c>
      <x:c r="E27" s="22" t="str">
        <x:v>MANTER VARIANTES separadas por dosagem/volume/dimensão/apresentação</x:v>
      </x:c>
      <x:c r="F27" s="22" t="str">
        <x:v>SIM</x:v>
      </x:c>
      <x:c r="G27" s="22" t="str">
        <x:v>NÃO</x:v>
      </x:c>
      <x:c r="H27" s="22" t="str">
        <x:v>15MG/3ML | 15MG | 3ML | 15MG/ML | 15MG | 3ML | 1MG/ML | 1MG | 5ML | 50MG/ML | 50MG | 10ML</x:v>
      </x:c>
      <x:c r="I27" s="22" t="str"/>
      <x:c r="J27" s="22" t="str">
        <x:v>AP | UN | AP | CX/05 | CX | CONTEUDO5 | FATOR5</x:v>
      </x:c>
      <x:c r="K27" s="22" t="str">
        <x:v>HIPOLABOR | TEUTO | UNIÃO QUIMICA</x:v>
      </x:c>
      <x:c r="L27" s="28" t="str"/>
      <x:c r="M27" s="22" t="str">
        <x:v>MIDAZOLAM 15MG/3ML AP - HIPOLABOR || MIDAZOLAM 15MG/3ML AP - TEUTO || MIDAZOLAM 15MG/ML 3ML AP CX/05 - UNIÃO QUIMICA || MIDAZOLAM 1MG/ML 5ML AP CX/05 - TEUTO</x:v>
      </x:c>
      <x:c r="N27" s="27" t="str"/>
      <x:c r="O27" s="27" t="str"/>
    </x:row>
    <x:row r="28">
      <x:c r="A28" s="28" t="str">
        <x:f>"G-280"</x:f>
        <x:v>G-280</x:v>
      </x:c>
      <x:c r="B28" s="22" t="str">
        <x:v>SUGAMADEX BRIDION</x:v>
      </x:c>
      <x:c r="C28" s="22" t="n">
        <x:v>5</x:v>
      </x:c>
      <x:c r="D28" s="22" t="str">
        <x:v>MÉDIO</x:v>
      </x:c>
      <x:c r="E28" s="22" t="str">
        <x:v>MANTER VARIANTES separadas por dosagem/volume/dimensão/apresentação</x:v>
      </x:c>
      <x:c r="F28" s="22" t="str">
        <x:v>SIM</x:v>
      </x:c>
      <x:c r="G28" s="22" t="str">
        <x:v>NÃO</x:v>
      </x:c>
      <x:c r="H28" s="22" t="str">
        <x:v>100MG/2ML | 100MG | 2ML</x:v>
      </x:c>
      <x:c r="I28" s="22" t="str"/>
      <x:c r="J28" s="22" t="str">
        <x:v>CX/10 | CX | CONTEUDO10 | FATOR10 | UND | CX/10 | UND</x:v>
      </x:c>
      <x:c r="K28" s="22" t="str">
        <x:v>MSD | UNIAO QUIMICA | DR REDDY | BLAU</x:v>
      </x:c>
      <x:c r="L28" s="28" t="str">
        <x:f>"GTIN: 7896014689170"</x:f>
        <x:v>GTIN: 7896014689170</x:v>
      </x:c>
      <x:c r="M28" s="22" t="str">
        <x:v>SUGAMADEX BRIDION 100MG/2ML - CX/10 - MSD || SUGAMADEX BRIDION 100MG/2ML - CX/10 - UNIAO QUIMICA || SUGAMADEX BRIDION 100MG/2ML - DR REDDY || SUGAMADEX BRIDION 100MG/2ML - DR REDDY - CX/10</x:v>
      </x:c>
      <x:c r="N28" s="27" t="str"/>
      <x:c r="O28" s="27" t="str"/>
    </x:row>
    <x:row r="29">
      <x:c r="A29" s="28" t="str">
        <x:f>"G-102"</x:f>
        <x:v>G-102</x:v>
      </x:c>
      <x:c r="B29" s="22" t="str">
        <x:v>CLORIDRATO VANCOMICINA</x:v>
      </x:c>
      <x:c r="C29" s="22" t="n">
        <x:v>4</x:v>
      </x:c>
      <x:c r="D29" s="22" t="str">
        <x:v>MÉDIO</x:v>
      </x:c>
      <x:c r="E29" s="22" t="str">
        <x:v>MANTER VARIANTES separadas por dosagem/volume/dimensão/apresentação</x:v>
      </x:c>
      <x:c r="F29" s="22" t="str">
        <x:v>SIM</x:v>
      </x:c>
      <x:c r="G29" s="22" t="str">
        <x:v>NÃO</x:v>
      </x:c>
      <x:c r="H29" s="22" t="str">
        <x:v>1G | 500MG</x:v>
      </x:c>
      <x:c r="I29" s="22" t="str">
        <x:v>1G</x:v>
      </x:c>
      <x:c r="J29" s="22" t="str">
        <x:v>CX/25 | CX | CONTEUDO25 | FATOR25 | CX/20 | CX | CONTEUDO20 | FATOR20 | CX/50 | CX | CONTEUDO25 | FATOR25</x:v>
      </x:c>
      <x:c r="K29" s="22" t="str">
        <x:v>ABL | BLAU | TEUTO</x:v>
      </x:c>
      <x:c r="L29" s="28" t="str">
        <x:f>"GTIN: 7898901848455 | GTIN: 7895858004927"</x:f>
        <x:v>GTIN: 7898901848455 | GTIN: 7895858004927</x:v>
      </x:c>
      <x:c r="M29" s="22" t="str">
        <x:v>CLORIDRATO DE VANCOMICINA 1G - CX/25 - ABL || CLORIDRATO DE VANCOMICINA 500MG - CX/20 - BLAU || CLORIDRATO DE VANCOMICINA 500MG - CX/25 - ABL || CLORIDRATO DE VANCOMICINA 500MG CX/50 - TEUTO</x:v>
      </x:c>
      <x:c r="N29" s="27" t="str"/>
      <x:c r="O29" s="27" t="str"/>
    </x:row>
    <x:row r="30">
      <x:c r="A30" s="28" t="str">
        <x:f>"G-176"</x:f>
        <x:v>G-176</x:v>
      </x:c>
      <x:c r="B30" s="22" t="str">
        <x:v>GLICOSE</x:v>
      </x:c>
      <x:c r="C30" s="22" t="n">
        <x:v>4</x:v>
      </x:c>
      <x:c r="D30" s="22" t="str">
        <x:v>MÉDIO</x:v>
      </x:c>
      <x:c r="E30" s="22" t="str">
        <x:v>MANTER VARIANTES separadas por dosagem/volume/dimensão/apresentação</x:v>
      </x:c>
      <x:c r="F30" s="22" t="str">
        <x:v>SIM</x:v>
      </x:c>
      <x:c r="G30" s="22" t="str">
        <x:v>NÃO</x:v>
      </x:c>
      <x:c r="H30" s="22" t="str">
        <x:v>100ML | 250ML | 500ML | 10ML</x:v>
      </x:c>
      <x:c r="I30" s="22" t="str"/>
      <x:c r="J30" s="22" t="str">
        <x:v>CX/50 | CX | CONTEUDO50 | FATOR50 | CX/48 | CX | CONTEUDO48 | FATOR48 | CX/30 | CX | CONTEUDO30 | FATOR30 | AP | CX/200 | CX | CONTEUDO200 | FATOR200</x:v>
      </x:c>
      <x:c r="K30" s="22" t="str">
        <x:v>BAXTER | FRESENIUS | SAMTEC</x:v>
      </x:c>
      <x:c r="L30" s="28" t="str">
        <x:f>"GTIN: 7898170784539 | GTIN: 7897947706545"</x:f>
        <x:v>GTIN: 7898170784539 | GTIN: 7897947706545</x:v>
      </x:c>
      <x:c r="M30" s="22" t="str">
        <x:v>GLICOSE 5% 100ML - CX/50 - BAXTER || GLICOSE 5% 250ML CX/48 - FRESENIUS || GLICOSE 5% 500ML CX/30 FRESENIUS || GLICOSE 50% 10ML AP - CX/200 - SAMTEC</x:v>
      </x:c>
      <x:c r="N30" s="27" t="str"/>
      <x:c r="O30" s="27" t="str"/>
    </x:row>
    <x:row r="31">
      <x:c r="A31" s="28" t="str">
        <x:f>"G-222"</x:f>
        <x:v>G-222</x:v>
      </x:c>
      <x:c r="B31" s="22" t="str">
        <x:v>MEROPENEM</x:v>
      </x:c>
      <x:c r="C31" s="22" t="n">
        <x:v>4</x:v>
      </x:c>
      <x:c r="D31" s="22" t="str">
        <x:v>MÉDIO</x:v>
      </x:c>
      <x:c r="E31" s="22" t="str">
        <x:v>MANTER VARIANTES separadas por dosagem/volume/dimensão/apresentação</x:v>
      </x:c>
      <x:c r="F31" s="22" t="str">
        <x:v>SIM</x:v>
      </x:c>
      <x:c r="G31" s="22" t="str">
        <x:v>NÃO</x:v>
      </x:c>
      <x:c r="H31" s="22" t="str">
        <x:v>1G | 500MG</x:v>
      </x:c>
      <x:c r="I31" s="22" t="str">
        <x:v>1G</x:v>
      </x:c>
      <x:c r="J31" s="22" t="str">
        <x:v>CX/25 | CX | CONTEUDO25 | FATOR25 | CX/10 | CX | CONTEUDO10 | FATOR10</x:v>
      </x:c>
      <x:c r="K31" s="22" t="str">
        <x:v>BLAU | FRESENIUS | ABL</x:v>
      </x:c>
      <x:c r="L31" s="28" t="str">
        <x:f>"GTIN: 7896014680290 | GTIN: 7898911244179 | GTIN: 7898560664175"</x:f>
        <x:v>GTIN: 7896014680290 | GTIN: 7898911244179 | GTIN: 7898560664175</x:v>
      </x:c>
      <x:c r="M31" s="22" t="str">
        <x:v>MEROPENEM 1G - CX/25 - BLAU || MEROPENEM 1G CX/10 - FRESENIUS || MEROPENEM 500MG - CX/10 - ABL || MEROPENEM 500MG CX/10 - FRESENIUS</x:v>
      </x:c>
      <x:c r="N31" s="27" t="str"/>
      <x:c r="O31" s="27" t="str"/>
    </x:row>
    <x:row r="32">
      <x:c r="A32" s="28" t="str">
        <x:f>"G-260"</x:f>
        <x:v>G-260</x:v>
      </x:c>
      <x:c r="B32" s="22" t="str">
        <x:v>SERINGA AG BICO LUER LOCK</x:v>
      </x:c>
      <x:c r="C32" s="22" t="n">
        <x:v>4</x:v>
      </x:c>
      <x:c r="D32" s="22" t="str">
        <x:v>MÉDIO</x:v>
      </x:c>
      <x:c r="E32" s="22" t="str">
        <x:v>MANTER VARIANTES separadas por dosagem/volume/dimensão/apresentação</x:v>
      </x:c>
      <x:c r="F32" s="22" t="str">
        <x:v>SIM</x:v>
      </x:c>
      <x:c r="G32" s="22" t="str">
        <x:v>NÃO</x:v>
      </x:c>
      <x:c r="H32" s="22" t="str">
        <x:v>10ML | 3ML</x:v>
      </x:c>
      <x:c r="I32" s="22" t="str"/>
      <x:c r="J32" s="22" t="str">
        <x:v>CX/100 | UND | CX/500 | UND</x:v>
      </x:c>
      <x:c r="K32" s="22" t="str">
        <x:v>DESCARPACK | MEDIX | SR</x:v>
      </x:c>
      <x:c r="L32" s="28" t="str">
        <x:f>"GTIN: 7899080337686"</x:f>
        <x:v>GTIN: 7899080337686</x:v>
      </x:c>
      <x:c r="M32" s="22" t="str">
        <x:v>SERINGA 10ML S/AG BICO LUER LOCK - CX/100 - DESCARPACK || SERINGA 10ML S/AG BICO LUER LOCK - CX/100 - MEDIX || SERINGA 10ML S/AG BICO LUER LOCK - CX/100 - SR || SERINGA 3ML S/AG BICO LUER LOCK - CX/500 - SR</x:v>
      </x:c>
      <x:c r="N32" s="27" t="str"/>
      <x:c r="O32" s="27" t="str"/>
    </x:row>
    <x:row r="33">
      <x:c r="A33" s="28" t="str">
        <x:f>"G-262"</x:f>
        <x:v>G-262</x:v>
      </x:c>
      <x:c r="B33" s="22" t="str">
        <x:v>SERINGA AG BICO LUER SLIP</x:v>
      </x:c>
      <x:c r="C33" s="22" t="n">
        <x:v>4</x:v>
      </x:c>
      <x:c r="D33" s="22" t="str">
        <x:v>MÉDIO</x:v>
      </x:c>
      <x:c r="E33" s="22" t="str">
        <x:v>MANTER VARIANTES separadas por dosagem/volume/dimensão/apresentação</x:v>
      </x:c>
      <x:c r="F33" s="22" t="str">
        <x:v>SIM</x:v>
      </x:c>
      <x:c r="G33" s="22" t="str">
        <x:v>NÃO</x:v>
      </x:c>
      <x:c r="H33" s="22" t="str">
        <x:v>20ML | 3ML | 5ML | 60ML</x:v>
      </x:c>
      <x:c r="I33" s="22" t="str"/>
      <x:c r="J33" s="22" t="str">
        <x:v>CX/50 | UND | CX/500 | UND | CX/100 | CX | CONTEUDO100 | FATOR100</x:v>
      </x:c>
      <x:c r="K33" s="22" t="str">
        <x:v>DESCARPACK | SR</x:v>
      </x:c>
      <x:c r="L33" s="28" t="str">
        <x:f>"GTIN: 7899080337686 | GTIN: 7842826600032"</x:f>
        <x:v>GTIN: 7899080337686 | GTIN: 7842826600032</x:v>
      </x:c>
      <x:c r="M33" s="22" t="str">
        <x:v>SERINGA 20ML S/AG BICO LUER SLIP - CX/50 - DESCARPACK || SERINGA 3ML S/AG BICO LUER SLIP - CX/500 - SR || SERINGA 5ML S/AG BICO LUER SLIP - CX/50 - SR || SERINGA 60ML S/AG BICO LUER SLIP CX/100 SR</x:v>
      </x:c>
      <x:c r="N33" s="27" t="str"/>
      <x:c r="O33" s="27" t="str"/>
    </x:row>
    <x:row r="34">
      <x:c r="A34" s="28" t="str">
        <x:f>"G-192"</x:f>
        <x:v>G-192</x:v>
      </x:c>
      <x:c r="B34" s="22" t="str">
        <x:v>CIRURGICO UNIVERSAL LAMINADO IMPERMEAVEL GR50 AVENTAIS ESTERIL</x:v>
      </x:c>
      <x:c r="C34" s="22" t="n">
        <x:v>3</x:v>
      </x:c>
      <x:c r="D34" s="22" t="str">
        <x:v>MÉDIO</x:v>
      </x:c>
      <x:c r="E34" s="22" t="str">
        <x:v>MANTER VARIANTES separadas por dosagem/volume/dimensão/apresentação</x:v>
      </x:c>
      <x:c r="F34" s="22" t="str">
        <x:v>SIM</x:v>
      </x:c>
      <x:c r="G34" s="22" t="str">
        <x:v>NÃO</x:v>
      </x:c>
      <x:c r="H34" s="22" t="str"/>
      <x:c r="I34" s="22" t="str"/>
      <x:c r="J34" s="22" t="str">
        <x:v>KIT | CX/10 | CX10 | KIT | CX/12 | CX12 | KIT | CX/17 | CX17</x:v>
      </x:c>
      <x:c r="K34" s="22" t="str">
        <x:v>WINNER</x:v>
      </x:c>
      <x:c r="L34" s="28" t="str">
        <x:f>"GTIN: 7898010926921"</x:f>
        <x:v>GTIN: 7898010926921</x:v>
      </x:c>
      <x:c r="M34" s="22" t="str">
        <x:v>KIT CIRURGICO UNIVERSAL LAMINADO IMPERMEÁVEL GR50 C/02 AVENTAIS ESTÉRIL - CX/10 - WINNER || KIT CIRURGICO UNIVERSAL LAMINADO IMPERMEÁVEL GR50 C/02 AVENTAIS ESTÉRIL - CX/12 - WINNER || KIT CIRURGICO UNIVERSAL LAMINADO IMPERMEÁVEL GR50 C/02 AVENTAIS ESTÉRIL - CX/17 - WINNER</x:v>
      </x:c>
      <x:c r="N34" s="27" t="str"/>
      <x:c r="O34" s="27" t="str"/>
    </x:row>
    <x:row r="35">
      <x:c r="A35" s="28" t="str">
        <x:f>"G-179"</x:f>
        <x:v>G-179</x:v>
      </x:c>
      <x:c r="B35" s="22" t="str">
        <x:v>HIDROCORTISONA</x:v>
      </x:c>
      <x:c r="C35" s="22" t="n">
        <x:v>3</x:v>
      </x:c>
      <x:c r="D35" s="22" t="str">
        <x:v>MÉDIO</x:v>
      </x:c>
      <x:c r="E35" s="22" t="str">
        <x:v>MANTER VARIANTES separadas por dosagem/volume/dimensão/apresentação</x:v>
      </x:c>
      <x:c r="F35" s="22" t="str">
        <x:v>SIM</x:v>
      </x:c>
      <x:c r="G35" s="22" t="str">
        <x:v>NÃO</x:v>
      </x:c>
      <x:c r="H35" s="22" t="str">
        <x:v>100MG | 500MG</x:v>
      </x:c>
      <x:c r="I35" s="22" t="str"/>
      <x:c r="J35" s="22" t="str">
        <x:v>CX/50 | CX | CONTEUDO50 | FATOR50</x:v>
      </x:c>
      <x:c r="K35" s="22" t="str">
        <x:v>BLAU</x:v>
      </x:c>
      <x:c r="L35" s="28" t="str">
        <x:f>"GTIN: 7891004163241 | GTIN: 7896014688456"</x:f>
        <x:v>GTIN: 7891004163241 | GTIN: 7896014688456</x:v>
      </x:c>
      <x:c r="M35" s="22" t="str">
        <x:v>HIDROCORTISONA 100MG - BLAU CX/50 || HIDROCORTISONA 500MG - BLAU CX/50 || HIDROCORTISONA 500MG - CX/50 - BLAU</x:v>
      </x:c>
      <x:c r="N35" s="27" t="str"/>
      <x:c r="O35" s="27" t="str"/>
    </x:row>
    <x:row r="36">
      <x:c r="A36" s="28" t="str">
        <x:f>"G-210"</x:f>
        <x:v>G-210</x:v>
      </x:c>
      <x:c r="B36" s="22" t="str">
        <x:v>LUVA NITRILICA AZUL M PO</x:v>
      </x:c>
      <x:c r="C36" s="22" t="n">
        <x:v>3</x:v>
      </x:c>
      <x:c r="D36" s="22" t="str">
        <x:v>MÉDIO</x:v>
      </x:c>
      <x:c r="E36" s="22" t="str">
        <x:v>MANTER VARIANTES separadas por dosagem/volume/dimensão/apresentação</x:v>
      </x:c>
      <x:c r="F36" s="22" t="str">
        <x:v>SIM</x:v>
      </x:c>
      <x:c r="G36" s="22" t="str">
        <x:v>NÃO</x:v>
      </x:c>
      <x:c r="H36" s="22" t="str"/>
      <x:c r="I36" s="22" t="str"/>
      <x:c r="J36" s="22" t="str">
        <x:v>CX/10 | CX | CONTEUDO10 | FATOR10 | CX/100 | CX | CONTEUDO100 | FATOR100</x:v>
      </x:c>
      <x:c r="K36" s="22" t="str">
        <x:v>GLOMED | DESCARPACK | SECUREMED</x:v>
      </x:c>
      <x:c r="L36" s="28" t="str"/>
      <x:c r="M36" s="22" t="str">
        <x:v>LUVA NITRÍLICA AZUL M S/ PÓ - CX/10 - GLOMED || LUVA NITRÍLICA AZUL M S/ PÓ - CX/100 - DESCARPACK || LUVA NITRÍLICA AZUL M S/ PÓ - CX/100 - SECUREMED</x:v>
      </x:c>
      <x:c r="N36" s="27" t="str"/>
      <x:c r="O36" s="27" t="str"/>
    </x:row>
    <x:row r="37">
      <x:c r="A37" s="28" t="str">
        <x:f>"G-237"</x:f>
        <x:v>G-237</x:v>
      </x:c>
      <x:c r="B37" s="22" t="str">
        <x:v>OMEPRAZOL</x:v>
      </x:c>
      <x:c r="C37" s="22" t="n">
        <x:v>3</x:v>
      </x:c>
      <x:c r="D37" s="22" t="str">
        <x:v>MÉDIO</x:v>
      </x:c>
      <x:c r="E37" s="22" t="str">
        <x:v>MANTER VARIANTES separadas por dosagem/volume/dimensão/apresentação</x:v>
      </x:c>
      <x:c r="F37" s="22" t="str">
        <x:v>SIM</x:v>
      </x:c>
      <x:c r="G37" s="22" t="str">
        <x:v>NÃO</x:v>
      </x:c>
      <x:c r="H37" s="22" t="str">
        <x:v>40MG | 40MG | 10ML | 40MG/10ML | 40MG | 10ML</x:v>
      </x:c>
      <x:c r="I37" s="22" t="str"/>
      <x:c r="J37" s="22" t="str">
        <x:v>CX/50 | CX | CONTEUDO50 | FATOR50 | CX/25 | CX | CONTEUDO25 | FATOR25 | CX/20 | CX | CONTEUDO20 | FATOR20</x:v>
      </x:c>
      <x:c r="K37" s="22" t="str">
        <x:v>UNIAO QUIMICA | CRISTALIA | BLAU</x:v>
      </x:c>
      <x:c r="L37" s="28" t="str">
        <x:f>"GTIN: 07891317420024 | GTIN: 7896676411379 | GTIN: 7896014688289"</x:f>
        <x:v>GTIN: 07891317420024 | GTIN: 7896676411379 | GTIN: 7896014688289</x:v>
      </x:c>
      <x:c r="M37" s="22" t="str">
        <x:v>OMEPRAZOL 40MG - CX/50 - UNIÃO QUIMICA || OMEPRAZOL 40MG 10ML - CX/25 - CRISTALIA || OMEPRAZOL 40MG/10ML - CX/20 - BLAU</x:v>
      </x:c>
      <x:c r="N37" s="27" t="str"/>
      <x:c r="O37" s="27" t="str"/>
    </x:row>
    <x:row r="38">
      <x:c r="A38" s="28" t="str">
        <x:f>"G-298"</x:f>
        <x:v>G-298</x:v>
      </x:c>
      <x:c r="B38" s="22" t="str">
        <x:v>WRAP LEVE VERDE N ESTERIL</x:v>
      </x:c>
      <x:c r="C38" s="22" t="n">
        <x:v>3</x:v>
      </x:c>
      <x:c r="D38" s="22" t="str">
        <x:v>MÉDIO</x:v>
      </x:c>
      <x:c r="E38" s="22" t="str">
        <x:v>MANTER VARIANTES separadas por dosagem/volume/dimensão/apresentação</x:v>
      </x:c>
      <x:c r="F38" s="22" t="str">
        <x:v>SIM</x:v>
      </x:c>
      <x:c r="G38" s="22" t="str">
        <x:v>NÃO</x:v>
      </x:c>
      <x:c r="H38" s="22" t="str"/>
      <x:c r="I38" s="22" t="str">
        <x:v>0,80X0,80 | 1,00X1,00 | 1,20X1,20</x:v>
      </x:c>
      <x:c r="J38" s="22" t="str">
        <x:v>CX/250 | CX | CONTEUDO250 | FATOR250 | CX/150 | CX | CONTEUDO150 | FATOR150 | CX/125 | CX | CONTEUDO125 | FATOR125</x:v>
      </x:c>
      <x:c r="K38" s="22" t="str">
        <x:v>PION G</x:v>
      </x:c>
      <x:c r="L38" s="28" t="str">
        <x:f>"GTIN: 7908267458875 | GTIN: 07898010920790 | GTIN: 7908267458899"</x:f>
        <x:v>GTIN: 7908267458875 | GTIN: 07898010920790 | GTIN: 7908267458899</x:v>
      </x:c>
      <x:c r="M38" s="22" t="str">
        <x:v>WRAP LEVE 0,80X0,80 VERDE N/ESTERIL - CX/250 - PION G || WRAP LEVE 1,00X1,00 VERDE N/ESTERIL - CX/150 - PION G || WRAP LEVE 1,20X1,20 VERDE N/ESTERIL - CX/125 - PION G</x:v>
      </x:c>
      <x:c r="N38" s="27" t="str"/>
      <x:c r="O38" s="27" t="str"/>
    </x:row>
    <x:row r="39">
      <x:c r="A39" s="28" t="str">
        <x:f>"G-006"</x:f>
        <x:v>G-006</x:v>
      </x:c>
      <x:c r="B39" s="22" t="str">
        <x:v>AGUA DESTILADA</x:v>
      </x:c>
      <x:c r="C39" s="22" t="n">
        <x:v>2</x:v>
      </x:c>
      <x:c r="D39" s="22" t="str">
        <x:v>MÉDIO</x:v>
      </x:c>
      <x:c r="E39" s="22" t="str">
        <x:v>MANTER VARIANTES separadas por dosagem/volume/dimensão/apresentação</x:v>
      </x:c>
      <x:c r="F39" s="22" t="str">
        <x:v>SIM</x:v>
      </x:c>
      <x:c r="G39" s="22" t="str">
        <x:v>NÃO</x:v>
      </x:c>
      <x:c r="H39" s="22" t="str">
        <x:v>10ML | 5000ML</x:v>
      </x:c>
      <x:c r="I39" s="22" t="str"/>
      <x:c r="J39" s="22" t="str">
        <x:v>AP | CX/200 | UN | GL | UN</x:v>
      </x:c>
      <x:c r="K39" s="22" t="str">
        <x:v>FARMACE | FACILIMPE</x:v>
      </x:c>
      <x:c r="L39" s="28" t="str">
        <x:f>"GTIN: 7896242140719 | GTIN: 789891705266"</x:f>
        <x:v>GTIN: 7896242140719 | GTIN: 789891705266</x:v>
      </x:c>
      <x:c r="M39" s="22" t="str">
        <x:v>ÁGUA DESTILADA 10ML AP - FARMACE - CX/200 || ÁGUA DESTILADA 5000ML GL - FACILIMPE</x:v>
      </x:c>
      <x:c r="N39" s="27" t="str"/>
      <x:c r="O39" s="27" t="str"/>
    </x:row>
    <x:row r="40">
      <x:c r="A40" s="28" t="str">
        <x:f>"G-010"</x:f>
        <x:v>G-010</x:v>
      </x:c>
      <x:c r="B40" s="22" t="str">
        <x:v>AGULHA DESCARPACK</x:v>
      </x:c>
      <x:c r="C40" s="22" t="n">
        <x:v>2</x:v>
      </x:c>
      <x:c r="D40" s="22" t="str">
        <x:v>MÉDIO</x:v>
      </x:c>
      <x:c r="E40" s="22" t="str">
        <x:v>MANTER VARIANTES separadas por dosagem/volume/dimensão/apresentação</x:v>
      </x:c>
      <x:c r="F40" s="22" t="str">
        <x:v>SIM</x:v>
      </x:c>
      <x:c r="G40" s="22" t="str">
        <x:v>NÃO</x:v>
      </x:c>
      <x:c r="H40" s="22" t="str"/>
      <x:c r="I40" s="22" t="str">
        <x:v>13X0,45MM | 30X0,8MM</x:v>
      </x:c>
      <x:c r="J40" s="22" t="str">
        <x:v>CX/100 | CX | CONTEUDO100 | FATOR100</x:v>
      </x:c>
      <x:c r="K40" s="22" t="str">
        <x:v>SOLIDOR</x:v>
      </x:c>
      <x:c r="L40" s="28" t="str">
        <x:f>"GTIN: 7898283814222 | GTIN: 7898283814246"</x:f>
        <x:v>GTIN: 7898283814222 | GTIN: 7898283814246</x:v>
      </x:c>
      <x:c r="M40" s="22" t="str">
        <x:v>AGULHA 13X0,45MM CX/100 DESCARPACK || AGULHA 30X0,8MM CX/100 DESCARPACK</x:v>
      </x:c>
      <x:c r="N40" s="27" t="str"/>
      <x:c r="O40" s="27" t="str"/>
    </x:row>
    <x:row r="41">
      <x:c r="A41" s="28" t="str">
        <x:f>"G-015"</x:f>
        <x:v>G-015</x:v>
      </x:c>
      <x:c r="B41" s="22" t="str">
        <x:v>ALBUMINA HUMANA</x:v>
      </x:c>
      <x:c r="C41" s="22" t="n">
        <x:v>2</x:v>
      </x:c>
      <x:c r="D41" s="22" t="str">
        <x:v>MÉDIO</x:v>
      </x:c>
      <x:c r="E41" s="22" t="str">
        <x:v>MANTER VARIANTES separadas por dosagem/volume/dimensão/apresentação</x:v>
      </x:c>
      <x:c r="F41" s="22" t="str">
        <x:v>SIM</x:v>
      </x:c>
      <x:c r="G41" s="22" t="str">
        <x:v>NÃO</x:v>
      </x:c>
      <x:c r="H41" s="22" t="str">
        <x:v>10G/50ML | 10G | 50ML | 200G/L | 200G | 50ML</x:v>
      </x:c>
      <x:c r="I41" s="22" t="str">
        <x:v>10G | 200G</x:v>
      </x:c>
      <x:c r="J41" s="22" t="str">
        <x:v>CX/01 | UN | FR50 | UN</x:v>
      </x:c>
      <x:c r="K41" s="22" t="str">
        <x:v>GRIFOLS | KEDRION</x:v>
      </x:c>
      <x:c r="L41" s="28" t="str">
        <x:f>"GTIN: 7896014640010"</x:f>
        <x:v>GTIN: 7896014640010</x:v>
      </x:c>
      <x:c r="M41" s="22" t="str">
        <x:v>ALBUMINA HUMANA 20% 10G/50ML CX/01 - GRIFOLS || ALBUMINA HUMANA 200G/L FR 50 ML - KEDRION</x:v>
      </x:c>
      <x:c r="N41" s="27" t="str"/>
      <x:c r="O41" s="27" t="str"/>
    </x:row>
    <x:row r="42">
      <x:c r="A42" s="28" t="str">
        <x:f>"G-061"</x:f>
        <x:v>G-061</x:v>
      </x:c>
      <x:c r="B42" s="22" t="str">
        <x:v>CEFTAZIDIMA PENTAIDRATADA</x:v>
      </x:c>
      <x:c r="C42" s="22" t="n">
        <x:v>2</x:v>
      </x:c>
      <x:c r="D42" s="22" t="str">
        <x:v>MÉDIO</x:v>
      </x:c>
      <x:c r="E42" s="22" t="str">
        <x:v>MANTER VARIANTES separadas por dosagem/volume/dimensão/apresentação</x:v>
      </x:c>
      <x:c r="F42" s="22" t="str">
        <x:v>SIM</x:v>
      </x:c>
      <x:c r="G42" s="22" t="str">
        <x:v>NÃO</x:v>
      </x:c>
      <x:c r="H42" s="22" t="str">
        <x:v>1G</x:v>
      </x:c>
      <x:c r="I42" s="22" t="str">
        <x:v>1G</x:v>
      </x:c>
      <x:c r="J42" s="22" t="str">
        <x:v>CX/50 | CX | CONTEUDO50 | FATOR50 | CX/25 | CX | CONTEUDO25 | FATOR25</x:v>
      </x:c>
      <x:c r="K42" s="22" t="str">
        <x:v>FRESENIUS | ABL</x:v>
      </x:c>
      <x:c r="L42" s="28" t="str">
        <x:f>"GTIN: 7899498608934"</x:f>
        <x:v>GTIN: 7899498608934</x:v>
      </x:c>
      <x:c r="M42" s="22" t="str">
        <x:v>CEFTAZIDIMA PENTAIDRATADA 1G - CX/50 - FRESENIUS || CEFTAZIDIMA PENTAIDRATADA 1G CX/25 - ABL</x:v>
      </x:c>
      <x:c r="N42" s="27" t="str"/>
      <x:c r="O42" s="27" t="str"/>
    </x:row>
    <x:row r="43">
      <x:c r="A43" s="28" t="str">
        <x:f>"G-085"</x:f>
        <x:v>G-085</x:v>
      </x:c>
      <x:c r="B43" s="22" t="str">
        <x:v>CLORETO SUXAMETONIO</x:v>
      </x:c>
      <x:c r="C43" s="22" t="n">
        <x:v>2</x:v>
      </x:c>
      <x:c r="D43" s="22" t="str">
        <x:v>MÉDIO</x:v>
      </x:c>
      <x:c r="E43" s="22" t="str">
        <x:v>MANTER VARIANTES separadas por dosagem/volume/dimensão/apresentação</x:v>
      </x:c>
      <x:c r="F43" s="22" t="str">
        <x:v>SIM</x:v>
      </x:c>
      <x:c r="G43" s="22" t="str">
        <x:v>NÃO</x:v>
      </x:c>
      <x:c r="H43" s="22" t="str">
        <x:v>100MG</x:v>
      </x:c>
      <x:c r="I43" s="22" t="str"/>
      <x:c r="J43" s="22" t="str">
        <x:v>CX/1 | UND | CX/10 | CX | CONTEUDO10 | FATOR10</x:v>
      </x:c>
      <x:c r="K43" s="22" t="str">
        <x:v>UNIAO QUIMICA | BLAU</x:v>
      </x:c>
      <x:c r="L43" s="28" t="str">
        <x:f>"GTIN: 7896014682287"</x:f>
        <x:v>GTIN: 7896014682287</x:v>
      </x:c>
      <x:c r="M43" s="22" t="str">
        <x:v>CLORETO DE SUXAMETÔNIO 100MG - CX/1 - UNIAO QUIMICA || CLORETO DE SUXAMETÔNIO 100MG - CX/10 - BLAU</x:v>
      </x:c>
      <x:c r="N43" s="27" t="str"/>
      <x:c r="O43" s="27" t="str"/>
    </x:row>
    <x:row r="44">
      <x:c r="A44" s="28" t="str">
        <x:f>"G-094"</x:f>
        <x:v>G-094</x:v>
      </x:c>
      <x:c r="B44" s="22" t="str">
        <x:v>CLORIDRATO ESCETAMINA KETAMIN</x:v>
      </x:c>
      <x:c r="C44" s="22" t="n">
        <x:v>2</x:v>
      </x:c>
      <x:c r="D44" s="22" t="str">
        <x:v>MÉDIO</x:v>
      </x:c>
      <x:c r="E44" s="22" t="str">
        <x:v>MANTER VARIANTES separadas por dosagem/volume/dimensão/apresentação</x:v>
      </x:c>
      <x:c r="F44" s="22" t="str">
        <x:v>SIM</x:v>
      </x:c>
      <x:c r="G44" s="22" t="str">
        <x:v>NÃO</x:v>
      </x:c>
      <x:c r="H44" s="22" t="str">
        <x:v>50MG/ML | 50MG | 10ML | 50MG/ML | 50MG | 2ML</x:v>
      </x:c>
      <x:c r="I44" s="22" t="str"/>
      <x:c r="J44" s="22" t="str">
        <x:v>AP | CX/25 | UN</x:v>
      </x:c>
      <x:c r="K44" s="22" t="str">
        <x:v>CRISTÁLIA</x:v>
      </x:c>
      <x:c r="L44" s="28" t="str">
        <x:f>"GTIN: 7898404221908"</x:f>
        <x:v>GTIN: 7898404221908</x:v>
      </x:c>
      <x:c r="M44" s="22" t="str">
        <x:v>CLORIDRATO DE ESCETAMINA KETAMIN 50MG/ML AP 10ML CX/25 - CRISTÁLIA || CLORIDRATO DE ESCETAMINA KETAMIN 50MG/ML AP 2ML CX/25 - CRISTÁLIA</x:v>
      </x:c>
      <x:c r="N44" s="27" t="str"/>
      <x:c r="O44" s="27" t="str"/>
    </x:row>
    <x:row r="45">
      <x:c r="A45" s="28" t="str">
        <x:f>"G-098"</x:f>
        <x:v>G-098</x:v>
      </x:c>
      <x:c r="B45" s="22" t="str">
        <x:v>CLORIDRATO ONDANSETRONA</x:v>
      </x:c>
      <x:c r="C45" s="22" t="n">
        <x:v>2</x:v>
      </x:c>
      <x:c r="D45" s="22" t="str">
        <x:v>MÉDIO</x:v>
      </x:c>
      <x:c r="E45" s="22" t="str">
        <x:v>MANTER VARIANTES separadas por dosagem/volume/dimensão/apresentação</x:v>
      </x:c>
      <x:c r="F45" s="22" t="str">
        <x:v>SIM</x:v>
      </x:c>
      <x:c r="G45" s="22" t="str">
        <x:v>NÃO</x:v>
      </x:c>
      <x:c r="H45" s="22" t="str">
        <x:v>4MG/2ML | 4MG | 2ML | 4MG/ML | 4MG | 2ML</x:v>
      </x:c>
      <x:c r="I45" s="22" t="str"/>
      <x:c r="J45" s="22" t="str">
        <x:v>AP | UN | AP | CX/50 | CX | CONTEUDO50 | FATOR50</x:v>
      </x:c>
      <x:c r="K45" s="22" t="str">
        <x:v>UNIÃO QUIMICA | HIPOLABOR</x:v>
      </x:c>
      <x:c r="L45" s="28" t="str">
        <x:f>"GTIN: 7898470684164"</x:f>
        <x:v>GTIN: 7898470684164</x:v>
      </x:c>
      <x:c r="M45" s="22" t="str">
        <x:v>CLORIDRATO DE ONDANSETRONA 4MG/2ML AP - UNIÃO QUIMICA || CLORIDRATO DE ONDANSETRONA 4MG/ML 2ML AP CX/50 - HIPOLABOR</x:v>
      </x:c>
      <x:c r="N45" s="27" t="str"/>
      <x:c r="O45" s="27" t="str"/>
    </x:row>
    <x:row r="46">
      <x:c r="A46" s="28" t="str">
        <x:f>"G-110"</x:f>
        <x:v>G-110</x:v>
      </x:c>
      <x:c r="B46" s="22" t="str">
        <x:v>COLETOR URINA SIST FECHADO P COLETA ESTERIL</x:v>
      </x:c>
      <x:c r="C46" s="22" t="n">
        <x:v>2</x:v>
      </x:c>
      <x:c r="D46" s="22" t="str">
        <x:v>MÉDIO</x:v>
      </x:c>
      <x:c r="E46" s="22" t="str">
        <x:v>MANTER VARIANTES separadas por dosagem/volume/dimensão/apresentação</x:v>
      </x:c>
      <x:c r="F46" s="22" t="str">
        <x:v>SIM</x:v>
      </x:c>
      <x:c r="G46" s="22" t="str">
        <x:v>NÃO</x:v>
      </x:c>
      <x:c r="H46" s="22" t="str">
        <x:v>2000ML</x:v>
      </x:c>
      <x:c r="I46" s="22" t="str"/>
      <x:c r="J46" s="22" t="str">
        <x:v>BOLSA | CX/90 | CX | CONTEUDO90 | FATOR90 | BOLSA | CX/100 | CX | CONTEUDO100 | FATOR100</x:v>
      </x:c>
      <x:c r="K46" s="22" t="str">
        <x:v>LABOR IMPORT | MEDIX</x:v>
      </x:c>
      <x:c r="L46" s="28" t="str">
        <x:f>"GTIN: 7899780174079 | GTIN: 7898563792165"</x:f>
        <x:v>GTIN: 7899780174079 | GTIN: 7898563792165</x:v>
      </x:c>
      <x:c r="M46" s="22" t="str">
        <x:v>COLETOR DE URINA SIST. FECHADO 2000ML BOLSA C/P COLETA ESTERIL - CX/90 - LABOR IMPORT || COLETOR DE URINA SIST. FECHADO 2000ML BOLSA C/P COLETA ESTERIL - MEDIX - CX/100</x:v>
      </x:c>
      <x:c r="N46" s="27" t="str"/>
      <x:c r="O46" s="27" t="str"/>
    </x:row>
    <x:row r="47">
      <x:c r="A47" s="28" t="str">
        <x:f>"G-113"</x:f>
        <x:v>G-113</x:v>
      </x:c>
      <x:c r="B47" s="22" t="str">
        <x:v>COMPRESSAS GAZE ESTERIL LIVIA</x:v>
      </x:c>
      <x:c r="C47" s="22" t="n">
        <x:v>2</x:v>
      </x:c>
      <x:c r="D47" s="22" t="str">
        <x:v>MÉDIO</x:v>
      </x:c>
      <x:c r="E47" s="22" t="str">
        <x:v>MANTER VARIANTES separadas por dosagem/volume/dimensão/apresentação</x:v>
      </x:c>
      <x:c r="F47" s="22" t="str">
        <x:v>SIM</x:v>
      </x:c>
      <x:c r="G47" s="22" t="str">
        <x:v>NÃO</x:v>
      </x:c>
      <x:c r="H47" s="22" t="str"/>
      <x:c r="I47" s="22" t="str">
        <x:v>7,5X7,5 | 11FIOS | 7,5X7,5 | 13FIOS</x:v>
      </x:c>
      <x:c r="J47" s="22" t="str">
        <x:v>PCT/10 | PCT | CONTEUDO10 | FATOR10</x:v>
      </x:c>
      <x:c r="K47" s="22" t="str">
        <x:v>AMED</x:v>
      </x:c>
      <x:c r="L47" s="28" t="str">
        <x:f>"GTIN: 7898172869883"</x:f>
        <x:v>GTIN: 7898172869883</x:v>
      </x:c>
      <x:c r="M47" s="22" t="str">
        <x:v>COMPRESSAS DE GAZE 7,5 X 7,5 11 FIOS ESTERIL LIVIA - PCT/10 - AMED || COMPRESSAS DE GAZE 7,5 X 7,5 13 FIOS ESTERIL LIVIA - PCT/10 - AMED</x:v>
      </x:c>
      <x:c r="N47" s="27" t="str"/>
      <x:c r="O47" s="27" t="str"/>
    </x:row>
    <x:row r="48">
      <x:c r="A48" s="28" t="str">
        <x:f>"G-124"</x:f>
        <x:v>G-124</x:v>
      </x:c>
      <x:c r="B48" s="22" t="str">
        <x:v>CURATIVO SURGICEL X</x:v>
      </x:c>
      <x:c r="C48" s="22" t="n">
        <x:v>2</x:v>
      </x:c>
      <x:c r="D48" s="22" t="str">
        <x:v>MÉDIO</x:v>
      </x:c>
      <x:c r="E48" s="22" t="str">
        <x:v>MANTER VARIANTES separadas por dosagem/volume/dimensão/apresentação</x:v>
      </x:c>
      <x:c r="F48" s="22" t="str">
        <x:v>SIM</x:v>
      </x:c>
      <x:c r="G48" s="22" t="str">
        <x:v>NÃO</x:v>
      </x:c>
      <x:c r="H48" s="22" t="str"/>
      <x:c r="I48" s="22" t="str">
        <x:v>4X8 | 2X3</x:v>
      </x:c>
      <x:c r="J48" s="22" t="str">
        <x:v>ENV | CONTEUDO1</x:v>
      </x:c>
      <x:c r="K48" s="22" t="str">
        <x:v>ETHICON</x:v>
      </x:c>
      <x:c r="L48" s="28" t="str">
        <x:f>"GTIN: 10705031005204"</x:f>
        <x:v>GTIN: 10705031005204</x:v>
      </x:c>
      <x:c r="M48" s="22" t="str">
        <x:v>CURATIVO SURGICEL (1952) 10.2CM X 20.3CM 4X8 ETHICON || CURATIVO SURGICEL (1953) 5.1CM X 7.6CM 2X3 ETHICON</x:v>
      </x:c>
      <x:c r="N48" s="27" t="str"/>
      <x:c r="O48" s="27" t="str"/>
    </x:row>
    <x:row r="49">
      <x:c r="A49" s="28" t="str">
        <x:f>"G-130"</x:f>
        <x:v>G-130</x:v>
      </x:c>
      <x:c r="B49" s="22" t="str">
        <x:v>DEXAMETASONA</x:v>
      </x:c>
      <x:c r="C49" s="22" t="n">
        <x:v>2</x:v>
      </x:c>
      <x:c r="D49" s="22" t="str">
        <x:v>MÉDIO</x:v>
      </x:c>
      <x:c r="E49" s="22" t="str">
        <x:v>MANTER VARIANTES separadas por dosagem/volume/dimensão/apresentação</x:v>
      </x:c>
      <x:c r="F49" s="22" t="str">
        <x:v>SIM</x:v>
      </x:c>
      <x:c r="G49" s="22" t="str">
        <x:v>NÃO</x:v>
      </x:c>
      <x:c r="H49" s="22" t="str">
        <x:v>4MG/ML | 4MG | 2,5ML</x:v>
      </x:c>
      <x:c r="I49" s="22" t="str"/>
      <x:c r="J49" s="22" t="str">
        <x:v>AP | CX/100 | UN | AP | CX/50 | UN</x:v>
      </x:c>
      <x:c r="K49" s="22" t="str">
        <x:v>FARMACE | HYPOFARMA</x:v>
      </x:c>
      <x:c r="L49" s="28" t="str"/>
      <x:c r="M49" s="22" t="str">
        <x:v>DEXAMETASONA (FOSF. DISSÓDICO) 4MG/ML 2,5ML AP - FARMACE - CX/100 || DEXAMETASONA (FOSF. DISSÓDICO) 4MG/ML 2,5ML AP - HYPOFARMA - CX/50</x:v>
      </x:c>
      <x:c r="N49" s="27" t="str"/>
      <x:c r="O49" s="27" t="str"/>
    </x:row>
    <x:row r="50">
      <x:c r="A50" s="28" t="str">
        <x:f>"G-163"</x:f>
        <x:v>G-163</x:v>
      </x:c>
      <x:c r="B50" s="22" t="str">
        <x:v>FIO SUTURA NYLON AG</x:v>
      </x:c>
      <x:c r="C50" s="22" t="n">
        <x:v>2</x:v>
      </x:c>
      <x:c r="D50" s="22" t="str">
        <x:v>MÉDIO</x:v>
      </x:c>
      <x:c r="E50" s="22" t="str">
        <x:v>MANTER VARIANTES separadas por dosagem/volume/dimensão/apresentação</x:v>
      </x:c>
      <x:c r="F50" s="22" t="str">
        <x:v>SIM</x:v>
      </x:c>
      <x:c r="G50" s="22" t="str">
        <x:v>NÃO</x:v>
      </x:c>
      <x:c r="H50" s="22" t="str"/>
      <x:c r="I50" s="22" t="str"/>
      <x:c r="J50" s="22" t="str">
        <x:v>CX/24 | UND | CX/24 | CX | CONTEUDO24 | FATOR24</x:v>
      </x:c>
      <x:c r="K50" s="22" t="str">
        <x:v>TECHNOFIO</x:v>
      </x:c>
      <x:c r="L50" s="28" t="str">
        <x:f>"GTIN: 7898483782260 | GTIN: 7898157728525"</x:f>
        <x:v>GTIN: 7898483782260 | GTIN: 7898157728525</x:v>
      </x:c>
      <x:c r="M50" s="22" t="str">
        <x:v>FIO DE SUTURA DE NYLON 3.0 C/AG 30MM 3/8 - CX/24 - TECHNOFIO || FIO DE SUTURA DE NYLON 5.0 C/AG 20MM 3/8 45CM - CX/24 - TECHNOFIO</x:v>
      </x:c>
      <x:c r="N50" s="27" t="str"/>
      <x:c r="O50" s="27" t="str"/>
    </x:row>
    <x:row r="51">
      <x:c r="A51" s="28" t="str">
        <x:f>"G-223"</x:f>
        <x:v>G-223</x:v>
      </x:c>
      <x:c r="B51" s="22" t="str">
        <x:v>METILPREDILISONA</x:v>
      </x:c>
      <x:c r="C51" s="22" t="n">
        <x:v>2</x:v>
      </x:c>
      <x:c r="D51" s="22" t="str">
        <x:v>MÉDIO</x:v>
      </x:c>
      <x:c r="E51" s="22" t="str">
        <x:v>MANTER VARIANTES separadas por dosagem/volume/dimensão/apresentação</x:v>
      </x:c>
      <x:c r="F51" s="22" t="str">
        <x:v>SIM</x:v>
      </x:c>
      <x:c r="G51" s="22" t="str">
        <x:v>NÃO</x:v>
      </x:c>
      <x:c r="H51" s="22" t="str">
        <x:v>125MG</x:v>
      </x:c>
      <x:c r="I51" s="22" t="str"/>
      <x:c r="J51" s="22" t="str">
        <x:v>CX/25 | CX | CONTEUDO25 | FATOR25 | CX/25 | UND</x:v>
      </x:c>
      <x:c r="K51" s="22" t="str">
        <x:v>BLAU</x:v>
      </x:c>
      <x:c r="L51" s="28" t="str">
        <x:f>"GTIN: 7896014689118 | GTIN: 07896014689118"</x:f>
        <x:v>GTIN: 7896014689118 | GTIN: 07896014689118</x:v>
      </x:c>
      <x:c r="M51" s="22" t="str">
        <x:v>METILPREDILISONA 125MG - CX/25 - BLAU || METILPREDILISONA 125MG BLAU CX/25</x:v>
      </x:c>
      <x:c r="N51" s="27" t="str"/>
      <x:c r="O51" s="27" t="str"/>
    </x:row>
    <x:row r="52">
      <x:c r="A52" s="28" t="str">
        <x:f>"G-232"</x:f>
        <x:v>G-232</x:v>
      </x:c>
      <x:c r="B52" s="22" t="str">
        <x:v>NITROGLICERINA</x:v>
      </x:c>
      <x:c r="C52" s="22" t="n">
        <x:v>2</x:v>
      </x:c>
      <x:c r="D52" s="22" t="str">
        <x:v>MÉDIO</x:v>
      </x:c>
      <x:c r="E52" s="22" t="str">
        <x:v>MANTER VARIANTES separadas por dosagem/volume/dimensão/apresentação</x:v>
      </x:c>
      <x:c r="F52" s="22" t="str">
        <x:v>SIM</x:v>
      </x:c>
      <x:c r="G52" s="22" t="str">
        <x:v>NÃO</x:v>
      </x:c>
      <x:c r="H52" s="22" t="str">
        <x:v>5MG/ML | 5MG | 10ML | 5MG/ML | 5MG | 5ML</x:v>
      </x:c>
      <x:c r="I52" s="22" t="str"/>
      <x:c r="J52" s="22" t="str">
        <x:v>CX/10 | CX | CONTEUDO10 | FATOR10</x:v>
      </x:c>
      <x:c r="K52" s="22" t="str">
        <x:v>CRISTALIA</x:v>
      </x:c>
      <x:c r="L52" s="28" t="str">
        <x:f>"GTIN: 7896676415308"</x:f>
        <x:v>GTIN: 7896676415308</x:v>
      </x:c>
      <x:c r="M52" s="22" t="str">
        <x:v>NITROGLICERINA 5MG/ML 10ML - CX/10 - CRISTALIA (TRIDIL) || NITROGLICERINA 5MG/ML 5ML - CX/10 - CRISTALIA (TRIDIL)</x:v>
      </x:c>
      <x:c r="N52" s="27" t="str"/>
      <x:c r="O52" s="27" t="str"/>
    </x:row>
    <x:row r="53">
      <x:c r="A53" s="28" t="str">
        <x:f>"G-268"</x:f>
        <x:v>G-268</x:v>
      </x:c>
      <x:c r="B53" s="22" t="str">
        <x:v>SERINGA INSULINA AG</x:v>
      </x:c>
      <x:c r="C53" s="22" t="n">
        <x:v>2</x:v>
      </x:c>
      <x:c r="D53" s="22" t="str">
        <x:v>MÉDIO</x:v>
      </x:c>
      <x:c r="E53" s="22" t="str">
        <x:v>MANTER VARIANTES separadas por dosagem/volume/dimensão/apresentação</x:v>
      </x:c>
      <x:c r="F53" s="22" t="str">
        <x:v>SIM</x:v>
      </x:c>
      <x:c r="G53" s="22" t="str">
        <x:v>NÃO</x:v>
      </x:c>
      <x:c r="H53" s="22" t="str">
        <x:v>0,5ML | 1ML</x:v>
      </x:c>
      <x:c r="I53" s="22" t="str">
        <x:v>0,25X6MM | 13X0,45</x:v>
      </x:c>
      <x:c r="J53" s="22" t="str">
        <x:v>CX/100 | CX | CONTEUDO100 | FATOR100 | CX/500 | CX | CONTEUDO500 | FATOR500</x:v>
      </x:c>
      <x:c r="K53" s="22" t="str">
        <x:v>SR</x:v>
      </x:c>
      <x:c r="L53" s="28" t="str">
        <x:f>"GTIN: 7898579240216 | GTIN: 7898960950656"</x:f>
        <x:v>GTIN: 7898579240216 | GTIN: 7898960950656</x:v>
      </x:c>
      <x:c r="M53" s="22" t="str">
        <x:v>SERINGA P/ INSULINA 0,5ML C/AG 0,25X6MM CX/100 - SR || SERINGA P/ INSULINA 1ML C/AG 13X0,45 - CX/500 - SR</x:v>
      </x:c>
      <x:c r="N53" s="27" t="str"/>
      <x:c r="O53" s="27" t="str"/>
    </x:row>
    <x:row r="54">
      <x:c r="A54" s="28" t="str">
        <x:f>"G-279"</x:f>
        <x:v>G-279</x:v>
      </x:c>
      <x:c r="B54" s="22" t="str">
        <x:v>STIMUPLEX</x:v>
      </x:c>
      <x:c r="C54" s="22" t="n">
        <x:v>2</x:v>
      </x:c>
      <x:c r="D54" s="22" t="str">
        <x:v>MÉDIO</x:v>
      </x:c>
      <x:c r="E54" s="22" t="str">
        <x:v>MANTER VARIANTES separadas por dosagem/volume/dimensão/apresentação</x:v>
      </x:c>
      <x:c r="F54" s="22" t="str">
        <x:v>SIM</x:v>
      </x:c>
      <x:c r="G54" s="22" t="str">
        <x:v>NÃO</x:v>
      </x:c>
      <x:c r="H54" s="22" t="str"/>
      <x:c r="I54" s="22" t="str">
        <x:v>0.80X100MM | 21GX4 | 0.70X50MM | 22GX2</x:v>
      </x:c>
      <x:c r="J54" s="22" t="str">
        <x:v>UN</x:v>
      </x:c>
      <x:c r="K54" s="22" t="str">
        <x:v>BBRAUM</x:v>
      </x:c>
      <x:c r="L54" s="28" t="str">
        <x:f>"GTIN: 4039239106093"</x:f>
        <x:v>GTIN: 4039239106093</x:v>
      </x:c>
      <x:c r="M54" s="22" t="str">
        <x:v>STIMUPLEX A 100 0.80X100MM 21GX4 - BBRAUM || STIMUPLEX A 50MM 0.70X50MM 22GX2 - BBRAUM</x:v>
      </x:c>
      <x:c r="N54" s="27" t="str"/>
      <x:c r="O54" s="27" t="str"/>
    </x:row>
    <x:row r="55">
      <x:c r="A55" s="28" t="str">
        <x:f>"G-288"</x:f>
        <x:v>G-288</x:v>
      </x:c>
      <x:c r="B55" s="22" t="str">
        <x:v>SULFATO POLIMIXINA B</x:v>
      </x:c>
      <x:c r="C55" s="22" t="n">
        <x:v>2</x:v>
      </x:c>
      <x:c r="D55" s="22" t="str">
        <x:v>MÉDIO</x:v>
      </x:c>
      <x:c r="E55" s="22" t="str">
        <x:v>MANTER VARIANTES separadas por dosagem/volume/dimensão/apresentação</x:v>
      </x:c>
      <x:c r="F55" s="22" t="str">
        <x:v>SIM</x:v>
      </x:c>
      <x:c r="G55" s="22" t="str">
        <x:v>NÃO</x:v>
      </x:c>
      <x:c r="H55" s="22" t="str">
        <x:v>500.000UI</x:v>
      </x:c>
      <x:c r="I55" s="22" t="str"/>
      <x:c r="J55" s="22" t="str">
        <x:v>FR | CX/25 | CX | CONTEUDO25 | FATOR25 | FR | CX/5 | CX | CONTEUDO5 | FATOR5</x:v>
      </x:c>
      <x:c r="K55" s="22" t="str">
        <x:v>BLAU | UNIÃO QUIMICA</x:v>
      </x:c>
      <x:c r="L55" s="28" t="str"/>
      <x:c r="M55" s="22" t="str">
        <x:v>SULFATO DE POLIMIXINA B 500.000 UI FR - CX/25 - BLAU || SULFATO DE POLIMIXINA B 500.000 UI FR - CX/5 - UNIÃO QUIMICA</x:v>
      </x:c>
      <x:c r="N55" s="27" t="str"/>
      <x:c r="O55" s="27" t="str"/>
    </x:row>
    <x:row r="56">
      <x:c r="A56" s="28" t="str">
        <x:f>"G-299"</x:f>
        <x:v>G-299</x:v>
      </x:c>
      <x:c r="B56" s="22" t="str">
        <x:v>WRAP PESADO AZUL N ESTERIL</x:v>
      </x:c>
      <x:c r="C56" s="22" t="n">
        <x:v>2</x:v>
      </x:c>
      <x:c r="D56" s="22" t="str">
        <x:v>MÉDIO</x:v>
      </x:c>
      <x:c r="E56" s="22" t="str">
        <x:v>MANTER VARIANTES separadas por dosagem/volume/dimensão/apresentação</x:v>
      </x:c>
      <x:c r="F56" s="22" t="str">
        <x:v>SIM</x:v>
      </x:c>
      <x:c r="G56" s="22" t="str">
        <x:v>NÃO</x:v>
      </x:c>
      <x:c r="H56" s="22" t="str"/>
      <x:c r="I56" s="22" t="str">
        <x:v>0,80X0,80 | 1,20X1,20</x:v>
      </x:c>
      <x:c r="J56" s="22" t="str">
        <x:v>CX/250 | CX | CONTEUDO250 | FATOR250 | CX/100 | CX | CONTEUDO100 | FATOR100</x:v>
      </x:c>
      <x:c r="K56" s="22" t="str">
        <x:v>PION G</x:v>
      </x:c>
      <x:c r="L56" s="28" t="str">
        <x:f>"GTIN: 7908267405091 | GTIN: 7908267404971"</x:f>
        <x:v>GTIN: 7908267405091 | GTIN: 7908267404971</x:v>
      </x:c>
      <x:c r="M56" s="22" t="str">
        <x:v>WRAP PESADO 0,80X0,80 AZUL N/ESTERIL - CX/250 - PION G || WRAP PESADO 1,20X1,20 AZUL N/ESTERIL - CX/100 - PION G</x:v>
      </x:c>
      <x:c r="N56" s="27" t="str"/>
      <x:c r="O56" s="27" t="str"/>
    </x:row>
    <x:row r="57">
      <x:c r="A57" s="28" t="str">
        <x:f>"G-207"</x:f>
        <x:v>G-207</x:v>
      </x:c>
      <x:c r="B57" s="22" t="str">
        <x:v>LUVA PROCEDIMENTO EM LATEX M COM PO</x:v>
      </x:c>
      <x:c r="C57" s="22" t="n">
        <x:v>5</x:v>
      </x:c>
      <x:c r="D57" s="22" t="str">
        <x:v>BAIXO</x:v>
      </x:c>
      <x:c r="E57" s="22" t="str">
        <x:v>REVISAR possível duplicidade</x:v>
      </x:c>
      <x:c r="F57" s="22" t="str">
        <x:v>NÃO</x:v>
      </x:c>
      <x:c r="G57" s="22" t="str">
        <x:v>SIM</x:v>
      </x:c>
      <x:c r="H57" s="22" t="str"/>
      <x:c r="I57" s="22" t="str"/>
      <x:c r="J57" s="22" t="str">
        <x:v>CX/100 | CX | CONTEUDO100 | FATOR100</x:v>
      </x:c>
      <x:c r="K57" s="22" t="str">
        <x:v>ABL | DESCARPACK | GLOMED | LATEX BR | MEDIX</x:v>
      </x:c>
      <x:c r="L57" s="28" t="str">
        <x:f>"GTIN: 7898283814680"</x:f>
        <x:v>GTIN: 7898283814680</x:v>
      </x:c>
      <x:c r="M57" s="22" t="str">
        <x:v>LUVA DE PROCEDIMENTO EM LATEX M COM PÓ - CX/100 - ABL || LUVA DE PROCEDIMENTO EM LATEX M COM PÓ - CX/100 - DESCARPACK || LUVA DE PROCEDIMENTO EM LATEX M COM PÓ - CX/100 - GLOMED || LUVA DE PROCEDIMENTO EM LATEX M COM PÓ - CX/100 - LATEX BR</x:v>
      </x:c>
      <x:c r="N57" s="27" t="str"/>
      <x:c r="O57" s="27" t="str"/>
    </x:row>
    <x:row r="58">
      <x:c r="A58" s="28" t="str">
        <x:f>"G-055"</x:f>
        <x:v>G-055</x:v>
      </x:c>
      <x:c r="B58" s="22" t="str">
        <x:v>CATETER TRIPLO LUMEN 7FRX20CM</x:v>
      </x:c>
      <x:c r="C58" s="22" t="n">
        <x:v>4</x:v>
      </x:c>
      <x:c r="D58" s="22" t="str">
        <x:v>BAIXO</x:v>
      </x:c>
      <x:c r="E58" s="22" t="str">
        <x:v>REVISAR possível duplicidade</x:v>
      </x:c>
      <x:c r="F58" s="22" t="str">
        <x:v>NÃO</x:v>
      </x:c>
      <x:c r="G58" s="22" t="str">
        <x:v>SIM</x:v>
      </x:c>
      <x:c r="H58" s="22" t="str"/>
      <x:c r="I58" s="22" t="str"/>
      <x:c r="J58" s="22" t="str">
        <x:v>UND</x:v>
      </x:c>
      <x:c r="K58" s="22" t="str">
        <x:v>ALIVE HEART | ARROW | B BRAUN | BIOMEDICAL</x:v>
      </x:c>
      <x:c r="L58" s="28" t="str">
        <x:f>"GTIN: 7898230230239"</x:f>
        <x:v>GTIN: 7898230230239</x:v>
      </x:c>
      <x:c r="M58" s="22" t="str">
        <x:v>CATETER TRIPLO LUMEN 7FRX20CM - ALIVE HEART || CATETER TRIPLO LUMEN 7FRX20CM - ARROW || CATETER TRIPLO LUMEN 7FRX20CM - B BRAUN || CATETER TRIPLO LUMEN 7FRX20CM - BIOMEDICAL</x:v>
      </x:c>
      <x:c r="N58" s="27" t="str"/>
      <x:c r="O58" s="27" t="str"/>
    </x:row>
    <x:row r="59">
      <x:c r="A59" s="28" t="str">
        <x:f>"G-206"</x:f>
        <x:v>G-206</x:v>
      </x:c>
      <x:c r="B59" s="22" t="str">
        <x:v>LUVA PROCEDIMENTO EM LATEX G COM PO</x:v>
      </x:c>
      <x:c r="C59" s="22" t="n">
        <x:v>4</x:v>
      </x:c>
      <x:c r="D59" s="22" t="str">
        <x:v>BAIXO</x:v>
      </x:c>
      <x:c r="E59" s="22" t="str">
        <x:v>REVISAR possível duplicidade</x:v>
      </x:c>
      <x:c r="F59" s="22" t="str">
        <x:v>NÃO</x:v>
      </x:c>
      <x:c r="G59" s="22" t="str">
        <x:v>SIM</x:v>
      </x:c>
      <x:c r="H59" s="22" t="str"/>
      <x:c r="I59" s="22" t="str"/>
      <x:c r="J59" s="22" t="str">
        <x:v>CX/100 | CX | CONTEUDO100 | FATOR100</x:v>
      </x:c>
      <x:c r="K59" s="22" t="str">
        <x:v>ABL | DESCARPACK | MEDIX | PROCED</x:v>
      </x:c>
      <x:c r="L59" s="28" t="str">
        <x:f>"GTIN: 7898283814680"</x:f>
        <x:v>GTIN: 7898283814680</x:v>
      </x:c>
      <x:c r="M59" s="22" t="str">
        <x:v>LUVA DE PROCEDIMENTO EM LATEX G COM PÓ - CX/100 - ABL || LUVA DE PROCEDIMENTO EM LATEX G COM PÓ - CX/100 - DESCARPACK || LUVA DE PROCEDIMENTO EM LATEX G COM PÓ - CX/100 - MEDIX || LUVA DE PROCEDIMENTO EM LATEX G COM PÓ - CX/100 - PROCED</x:v>
      </x:c>
      <x:c r="N59" s="27" t="str"/>
      <x:c r="O59" s="27" t="str"/>
    </x:row>
    <x:row r="60">
      <x:c r="A60" s="28" t="str">
        <x:f>"G-245"</x:f>
        <x:v>G-245</x:v>
      </x:c>
      <x:c r="B60" s="22" t="str">
        <x:v>PIPERACILINA TAZOBACTAM</x:v>
      </x:c>
      <x:c r="C60" s="22" t="n">
        <x:v>4</x:v>
      </x:c>
      <x:c r="D60" s="22" t="str">
        <x:v>BAIXO</x:v>
      </x:c>
      <x:c r="E60" s="22" t="str">
        <x:v>REVISAR possível duplicidade</x:v>
      </x:c>
      <x:c r="F60" s="22" t="str">
        <x:v>NÃO</x:v>
      </x:c>
      <x:c r="G60" s="22" t="str">
        <x:v>SIM</x:v>
      </x:c>
      <x:c r="H60" s="22" t="str">
        <x:v>4G | 500MG</x:v>
      </x:c>
      <x:c r="I60" s="22" t="str">
        <x:v>4G</x:v>
      </x:c>
      <x:c r="J60" s="22" t="str">
        <x:v>CX/10 | CX | CONTEUDO10 | FATOR10</x:v>
      </x:c>
      <x:c r="K60" s="22" t="str">
        <x:v>BIOCHIMICO | EUROFARMA | UNIÃO QUÍMICA | VIATRIS</x:v>
      </x:c>
      <x:c r="L60" s="28" t="str">
        <x:f>"GTIN: 7897406119626 | GTIN: 7899498608354"</x:f>
        <x:v>GTIN: 7897406119626 | GTIN: 7899498608354</x:v>
      </x:c>
      <x:c r="M60" s="22" t="str">
        <x:v>PIPERACILINA + TAZOBACTAM 4G + 500MG - CX/10 - BIOCHIMICO || PIPERACILINA + TAZOBACTAM 4G + 500MG - CX/10 - EUROFARMA || PIPERACILINA + TAZOBACTAM 4G + 500MG - CX/10 - UNIÃO QUÍMICA || PIPERACILINA + TAZOBACTAM 4G + 500MG - CX/10 - VIATRIS</x:v>
      </x:c>
      <x:c r="N60" s="27" t="str"/>
      <x:c r="O60" s="27" t="str"/>
    </x:row>
    <x:row r="61">
      <x:c r="A61" s="28" t="str">
        <x:f>"G-291"</x:f>
        <x:v>G-291</x:v>
      </x:c>
      <x:c r="B61" s="22" t="str">
        <x:v>TENOXICAM</x:v>
      </x:c>
      <x:c r="C61" s="22" t="n">
        <x:v>4</x:v>
      </x:c>
      <x:c r="D61" s="22" t="str">
        <x:v>BAIXO</x:v>
      </x:c>
      <x:c r="E61" s="22" t="str">
        <x:v>REVISAR possível duplicidade</x:v>
      </x:c>
      <x:c r="F61" s="22" t="str">
        <x:v>NÃO</x:v>
      </x:c>
      <x:c r="G61" s="22" t="str">
        <x:v>SIM</x:v>
      </x:c>
      <x:c r="H61" s="22" t="str">
        <x:v>20MG/2ML | 20MG | 2ML</x:v>
      </x:c>
      <x:c r="I61" s="22" t="str"/>
      <x:c r="J61" s="22" t="str">
        <x:v>CX/50 | CX | CONTEUDO50 | FATOR50</x:v>
      </x:c>
      <x:c r="K61" s="22" t="str">
        <x:v>CRISTALIA | UNIAO QUIMICA | EUROFARMA</x:v>
      </x:c>
      <x:c r="L61" s="28" t="str">
        <x:f>"GTIN: 7896676416206 | GTIN: 7896006219149 | GTIN: 7891317009878"</x:f>
        <x:v>GTIN: 7896676416206 | GTIN: 7896006219149 | GTIN: 7891317009878</x:v>
      </x:c>
      <x:c r="M61" s="22" t="str">
        <x:v>TENOXICAM 20MG/2ML - CX/50 - CRISTALIA || TENOXICAM 20MG/2ML - CX/50 - UNIAO QUIMICA || TENOXICAM 20MG/2ML CX/50 - EUROFARMA || TENOXICAM 20MG/2ML CX/50 CRISTALIA</x:v>
      </x:c>
      <x:c r="N61" s="27" t="str"/>
      <x:c r="O61" s="27" t="str"/>
    </x:row>
    <x:row r="62">
      <x:c r="A62" s="28" t="str">
        <x:f>"G-049"</x:f>
        <x:v>G-049</x:v>
      </x:c>
      <x:c r="B62" s="22" t="str">
        <x:v>CATETER DUPLO LUMEN 7FRX20CM</x:v>
      </x:c>
      <x:c r="C62" s="22" t="n">
        <x:v>3</x:v>
      </x:c>
      <x:c r="D62" s="22" t="str">
        <x:v>BAIXO</x:v>
      </x:c>
      <x:c r="E62" s="22" t="str">
        <x:v>REVISAR possível duplicidade</x:v>
      </x:c>
      <x:c r="F62" s="22" t="str">
        <x:v>NÃO</x:v>
      </x:c>
      <x:c r="G62" s="22" t="str">
        <x:v>NÃO</x:v>
      </x:c>
      <x:c r="H62" s="22" t="str"/>
      <x:c r="I62" s="22" t="str"/>
      <x:c r="J62" s="22" t="str">
        <x:v>UND</x:v>
      </x:c>
      <x:c r="K62" s="22" t="str">
        <x:v>ALIVE HEART | BIOMEDICAL | SAFECATH</x:v>
      </x:c>
      <x:c r="L62" s="28" t="str"/>
      <x:c r="M62" s="22" t="str">
        <x:v>CATETER DUPLO LUMEN 7FRX20CM - ALIVE HEART || CATETER DUPLO LUMEN 7FRX20CM - BIOMEDICAL || CATETER DUPLO LUMEN 7FRX20CM - SAFECATH</x:v>
      </x:c>
      <x:c r="N62" s="27" t="str"/>
      <x:c r="O62" s="27" t="str"/>
    </x:row>
    <x:row r="63">
      <x:c r="A63" s="28" t="str">
        <x:f>"G-097"</x:f>
        <x:v>G-097</x:v>
      </x:c>
      <x:c r="B63" s="22" t="str">
        <x:v>CLORIDRATO LIDOCAINA GELEIA BISNAGA</x:v>
      </x:c>
      <x:c r="C63" s="22" t="n">
        <x:v>3</x:v>
      </x:c>
      <x:c r="D63" s="22" t="str">
        <x:v>BAIXO</x:v>
      </x:c>
      <x:c r="E63" s="22" t="str">
        <x:v>REVISAR possível duplicidade</x:v>
      </x:c>
      <x:c r="F63" s="22" t="str">
        <x:v>NÃO</x:v>
      </x:c>
      <x:c r="G63" s="22" t="str">
        <x:v>SIM</x:v>
      </x:c>
      <x:c r="H63" s="22" t="str">
        <x:v>20MG | 30G</x:v>
      </x:c>
      <x:c r="I63" s="22" t="str">
        <x:v>30G</x:v>
      </x:c>
      <x:c r="J63" s="22" t="str">
        <x:v>UND</x:v>
      </x:c>
      <x:c r="K63" s="22" t="str">
        <x:v>CRISTALIA | PHARLAB | NEOQUIMICA</x:v>
      </x:c>
      <x:c r="L63" s="28" t="str">
        <x:f>"GTIN: 7898123905653 | GTIN: 7896714230160"</x:f>
        <x:v>GTIN: 7898123905653 | GTIN: 7896714230160</x:v>
      </x:c>
      <x:c r="M63" s="22" t="str">
        <x:v>CLORIDRATO DE LIDOCAINA GELEIA 2% - 20MG - 1 BISNAGA 30G - CRISTALIA || CLORIDRATO DE LIDOCAINA GELEIA 2% - 20MG - 1 BISNAGA 30G - PHARLAB || CLORIDRATO DE LIDOCAINA GELEIA 2%/20MG - 1 BISNAGA 30G - NEOQUIMICA</x:v>
      </x:c>
      <x:c r="N63" s="27" t="str"/>
      <x:c r="O63" s="27" t="str"/>
    </x:row>
    <x:row r="64">
      <x:c r="A64" s="28" t="str">
        <x:f>"G-096"</x:f>
        <x:v>G-096</x:v>
      </x:c>
      <x:c r="B64" s="22" t="str">
        <x:v>CLORIDRATO LIDOCAINA SV</x:v>
      </x:c>
      <x:c r="C64" s="22" t="n">
        <x:v>3</x:v>
      </x:c>
      <x:c r="D64" s="22" t="str">
        <x:v>BAIXO</x:v>
      </x:c>
      <x:c r="E64" s="22" t="str">
        <x:v>REVISAR possível duplicidade</x:v>
      </x:c>
      <x:c r="F64" s="22" t="str">
        <x:v>NÃO</x:v>
      </x:c>
      <x:c r="G64" s="22" t="str">
        <x:v>SIM</x:v>
      </x:c>
      <x:c r="H64" s="22" t="str">
        <x:v>20ML</x:v>
      </x:c>
      <x:c r="I64" s="22" t="str"/>
      <x:c r="J64" s="22" t="str">
        <x:v>CX/25 | CX25</x:v>
      </x:c>
      <x:c r="K64" s="22" t="str">
        <x:v>CRISTALIA | HYPOFARMA</x:v>
      </x:c>
      <x:c r="L64" s="28" t="str">
        <x:f>"GTIN: 7898470686212"</x:f>
        <x:v>GTIN: 7898470686212</x:v>
      </x:c>
      <x:c r="M64" s="22" t="str">
        <x:v>CLORIDRATO DE LIDOCAINA 2% 20ML SV CX/25 - CRISTALIA || CLORIDRATO DE LIDOCAINA 2% 20ML SV CX/25 - HYPOFARMA || CLORIDRATO LIDOCAINA 2% 20ML SV CX/25 - HYPOFARMA</x:v>
      </x:c>
      <x:c r="N64" s="27" t="str"/>
      <x:c r="O64" s="27" t="str"/>
    </x:row>
    <x:row r="65">
      <x:c r="A65" s="28" t="str">
        <x:f>"G-211"</x:f>
        <x:v>G-211</x:v>
      </x:c>
      <x:c r="B65" s="22" t="str">
        <x:v>LUVA NITRILICA PROCEDIMENTO G PO NAO ESTERIL</x:v>
      </x:c>
      <x:c r="C65" s="22" t="n">
        <x:v>3</x:v>
      </x:c>
      <x:c r="D65" s="22" t="str">
        <x:v>BAIXO</x:v>
      </x:c>
      <x:c r="E65" s="22" t="str">
        <x:v>REVISAR possível duplicidade</x:v>
      </x:c>
      <x:c r="F65" s="22" t="str">
        <x:v>NÃO</x:v>
      </x:c>
      <x:c r="G65" s="22" t="str">
        <x:v>SIM</x:v>
      </x:c>
      <x:c r="H65" s="22" t="str"/>
      <x:c r="I65" s="22" t="str"/>
      <x:c r="J65" s="22" t="str">
        <x:v>CX/100 | CX | CONTEUDO100 | FATOR100</x:v>
      </x:c>
      <x:c r="K65" s="22" t="str">
        <x:v>DESCARPACK | MEDIX | ZELARA</x:v>
      </x:c>
      <x:c r="L65" s="28" t="str">
        <x:f>"GTIN: 7898733213001"</x:f>
        <x:v>GTIN: 7898733213001</x:v>
      </x:c>
      <x:c r="M65" s="22" t="str">
        <x:v>LUVA NITRÍLICA P/ PROCEDIMENTO G S/PÓ NÃO ESTÉRIL - CX/100 - DESCARPACK || LUVA NITRÍLICA P/ PROCEDIMENTO G S/PÓ NÃO ESTÉRIL - CX/100 - MEDIX || LUVA NITRÍLICA P/ PROCEDIMENTO G S/PÓ NÃO ESTÉRIL - CX/100 - ZELARA</x:v>
      </x:c>
      <x:c r="N65" s="27" t="str"/>
      <x:c r="O65" s="27" t="str"/>
    </x:row>
    <x:row r="66">
      <x:c r="A66" s="28" t="str">
        <x:f>"G-286"</x:f>
        <x:v>G-286</x:v>
      </x:c>
      <x:c r="B66" s="22" t="str">
        <x:v>SULFATO NEOMICINA BACITRACINA ZINCICA</x:v>
      </x:c>
      <x:c r="C66" s="22" t="n">
        <x:v>3</x:v>
      </x:c>
      <x:c r="D66" s="22" t="str">
        <x:v>BAIXO</x:v>
      </x:c>
      <x:c r="E66" s="22" t="str">
        <x:v>REVISAR possível duplicidade</x:v>
      </x:c>
      <x:c r="F66" s="22" t="str">
        <x:v>NÃO</x:v>
      </x:c>
      <x:c r="G66" s="22" t="str">
        <x:v>SIM</x:v>
      </x:c>
      <x:c r="H66" s="22" t="str">
        <x:v>15G</x:v>
      </x:c>
      <x:c r="I66" s="22" t="str">
        <x:v>15G</x:v>
      </x:c>
      <x:c r="J66" s="22" t="str">
        <x:v>UND</x:v>
      </x:c>
      <x:c r="K66" s="22" t="str">
        <x:v>BELFAR | EMS</x:v>
      </x:c>
      <x:c r="L66" s="28" t="str">
        <x:f>"GTIN: 789620009142 | GTIN: 7896004715902"</x:f>
        <x:v>GTIN: 789620009142 | GTIN: 7896004715902</x:v>
      </x:c>
      <x:c r="M66" s="22" t="str">
        <x:v>SULFATO DE NEOMICINA + BACITRACINA ZINCICA 15G - BELFAR || SULFATO DE NEOMICINA + BACITRACINA ZINCICA 15G - EMS || SULFATO DE NEOMICINA + BACITRACINA ZINCICA 15G EMS</x:v>
      </x:c>
      <x:c r="N66" s="27" t="str"/>
      <x:c r="O66" s="27" t="str"/>
    </x:row>
    <x:row r="67">
      <x:c r="A67" s="28" t="str">
        <x:f>"G-032"</x:f>
        <x:v>G-032</x:v>
      </x:c>
      <x:c r="B67" s="22" t="str">
        <x:v>AZITROMICINA DI HIDRATADA AZICIN</x:v>
      </x:c>
      <x:c r="C67" s="22" t="n">
        <x:v>2</x:v>
      </x:c>
      <x:c r="D67" s="22" t="str">
        <x:v>BAIXO</x:v>
      </x:c>
      <x:c r="E67" s="22" t="str">
        <x:v>REVISAR possível duplicidade</x:v>
      </x:c>
      <x:c r="F67" s="22" t="str">
        <x:v>NÃO</x:v>
      </x:c>
      <x:c r="G67" s="22" t="str">
        <x:v>SIM</x:v>
      </x:c>
      <x:c r="H67" s="22" t="str">
        <x:v>500MG</x:v>
      </x:c>
      <x:c r="I67" s="22" t="str"/>
      <x:c r="J67" s="22" t="str">
        <x:v>CX/10 | CX | CONTEUDO10 | FATOR10</x:v>
      </x:c>
      <x:c r="K67" s="22" t="str">
        <x:v>CRISTÁLIA | GLOBO</x:v>
      </x:c>
      <x:c r="L67" s="28" t="str">
        <x:f>"GTIN: 7898216365708"</x:f>
        <x:v>GTIN: 7898216365708</x:v>
      </x:c>
      <x:c r="M67" s="22" t="str">
        <x:v>AZITROMICINA DI-HIDRATADA AZICIN 500MG CX/10 - CRISTÁLIA || AZITROMICINA DI-HIDRATADA AZICIN 500MG CX/10 - GLOBO</x:v>
      </x:c>
      <x:c r="N67" s="27" t="str"/>
      <x:c r="O67" s="27" t="str"/>
    </x:row>
    <x:row r="68">
      <x:c r="A68" s="28" t="str">
        <x:f>"G-035"</x:f>
        <x:v>G-035</x:v>
      </x:c>
      <x:c r="B68" s="22" t="str">
        <x:v>BROMETO ROCURONIO</x:v>
      </x:c>
      <x:c r="C68" s="22" t="n">
        <x:v>2</x:v>
      </x:c>
      <x:c r="D68" s="22" t="str">
        <x:v>BAIXO</x:v>
      </x:c>
      <x:c r="E68" s="22" t="str">
        <x:v>REVISAR possível duplicidade</x:v>
      </x:c>
      <x:c r="F68" s="22" t="str">
        <x:v>NÃO</x:v>
      </x:c>
      <x:c r="G68" s="22" t="str">
        <x:v>NÃO</x:v>
      </x:c>
      <x:c r="H68" s="22" t="str">
        <x:v>10MG/5ML | 10MG | 5ML</x:v>
      </x:c>
      <x:c r="I68" s="22" t="str"/>
      <x:c r="J68" s="22" t="str">
        <x:v>CX/25 | CX | CONTEUDO25 | FATOR25</x:v>
      </x:c>
      <x:c r="K68" s="22" t="str">
        <x:v>CRISTALIA | VOLPHARMA</x:v>
      </x:c>
      <x:c r="L68" s="28" t="str">
        <x:f>"GTIN: 7898560661969"</x:f>
        <x:v>GTIN: 7898560661969</x:v>
      </x:c>
      <x:c r="M68" s="22" t="str">
        <x:v>BROMETO DE ROCURONIO 10MG/5ML - CX/25 - CRISTALIA || BROMETO DE ROCURONIO 10MG/5ML - CX/25 - VOLPHARMA</x:v>
      </x:c>
      <x:c r="N68" s="27" t="str"/>
      <x:c r="O68" s="27" t="str"/>
    </x:row>
    <x:row r="69">
      <x:c r="A69" s="28" t="str">
        <x:f>"G-045"</x:f>
        <x:v>G-045</x:v>
      </x:c>
      <x:c r="B69" s="22" t="str">
        <x:v>CANULA GUEDEL N ESTERIL 50UN</x:v>
      </x:c>
      <x:c r="C69" s="22" t="n">
        <x:v>2</x:v>
      </x:c>
      <x:c r="D69" s="22" t="str">
        <x:v>BAIXO</x:v>
      </x:c>
      <x:c r="E69" s="22" t="str">
        <x:v>REVISAR possível duplicidade</x:v>
      </x:c>
      <x:c r="F69" s="22" t="str">
        <x:v>NÃO</x:v>
      </x:c>
      <x:c r="G69" s="22" t="str">
        <x:v>NÃO</x:v>
      </x:c>
      <x:c r="H69" s="22" t="str"/>
      <x:c r="I69" s="22" t="str"/>
      <x:c r="J69" s="22" t="str">
        <x:v>CX/ | UN</x:v>
      </x:c>
      <x:c r="K69" s="22" t="str">
        <x:v>SEVEN</x:v>
      </x:c>
      <x:c r="L69" s="28" t="str"/>
      <x:c r="M69" s="22" t="str">
        <x:v>CANULA DE GUEDEL N°01 70MM ESTERIL CX/ 50UN- SEVEN || CANULA DE GUEDEL N°02 80MM ESTERIL CX/ 50UN- SEVEN</x:v>
      </x:c>
      <x:c r="N69" s="27" t="str"/>
      <x:c r="O69" s="27" t="str"/>
    </x:row>
    <x:row r="70">
      <x:c r="A70" s="28" t="str">
        <x:f>"G-059"</x:f>
        <x:v>G-059</x:v>
      </x:c>
      <x:c r="B70" s="22" t="str">
        <x:v>CEFAZOLINA SODICA</x:v>
      </x:c>
      <x:c r="C70" s="22" t="n">
        <x:v>2</x:v>
      </x:c>
      <x:c r="D70" s="22" t="str">
        <x:v>BAIXO</x:v>
      </x:c>
      <x:c r="E70" s="22" t="str">
        <x:v>REVISAR possível duplicidade</x:v>
      </x:c>
      <x:c r="F70" s="22" t="str">
        <x:v>NÃO</x:v>
      </x:c>
      <x:c r="G70" s="22" t="str">
        <x:v>NÃO</x:v>
      </x:c>
      <x:c r="H70" s="22" t="str">
        <x:v>1G</x:v>
      </x:c>
      <x:c r="I70" s="22" t="str">
        <x:v>1G</x:v>
      </x:c>
      <x:c r="J70" s="22" t="str">
        <x:v>UN</x:v>
      </x:c>
      <x:c r="K70" s="22" t="str">
        <x:v>BLAU | EUGIA</x:v>
      </x:c>
      <x:c r="L70" s="28" t="str">
        <x:f>"GTIN: 7898901848509"</x:f>
        <x:v>GTIN: 7898901848509</x:v>
      </x:c>
      <x:c r="M70" s="22" t="str">
        <x:v>CEFAZOLINA SÓDICA 1G C/50 - BLAU || CEFAZOLINA SÓDICA 1G C/50 - EUGIA</x:v>
      </x:c>
      <x:c r="N70" s="27" t="str"/>
      <x:c r="O70" s="27" t="str"/>
    </x:row>
    <x:row r="71">
      <x:c r="A71" s="28" t="str">
        <x:f>"G-062"</x:f>
        <x:v>G-062</x:v>
      </x:c>
      <x:c r="B71" s="22" t="str">
        <x:v>CEFTRIAXONA</x:v>
      </x:c>
      <x:c r="C71" s="22" t="n">
        <x:v>2</x:v>
      </x:c>
      <x:c r="D71" s="22" t="str">
        <x:v>BAIXO</x:v>
      </x:c>
      <x:c r="E71" s="22" t="str">
        <x:v>REVISAR possível duplicidade</x:v>
      </x:c>
      <x:c r="F71" s="22" t="str">
        <x:v>NÃO</x:v>
      </x:c>
      <x:c r="G71" s="22" t="str">
        <x:v>NÃO</x:v>
      </x:c>
      <x:c r="H71" s="22" t="str">
        <x:v>1G</x:v>
      </x:c>
      <x:c r="I71" s="22" t="str">
        <x:v>1G</x:v>
      </x:c>
      <x:c r="J71" s="22" t="str">
        <x:v>CX/50 | CX | CONTEUDO50 | FATOR50</x:v>
      </x:c>
      <x:c r="K71" s="22" t="str">
        <x:v>ABL | TEUTO</x:v>
      </x:c>
      <x:c r="L71" s="28" t="str">
        <x:f>"GTIN: 7891317003005"</x:f>
        <x:v>GTIN: 7891317003005</x:v>
      </x:c>
      <x:c r="M71" s="22" t="str">
        <x:v>CEFTRIAXONA 1G - ABL - CX/50 || CEFTRIAXONA 1G - TEUTO - CX/50</x:v>
      </x:c>
      <x:c r="N71" s="27" t="str"/>
      <x:c r="O71" s="27" t="str"/>
    </x:row>
    <x:row r="72">
      <x:c r="A72" s="28" t="str">
        <x:f>"G-064"</x:f>
        <x:v>G-064</x:v>
      </x:c>
      <x:c r="B72" s="22" t="str">
        <x:v>CEFUROXIMA</x:v>
      </x:c>
      <x:c r="C72" s="22" t="n">
        <x:v>2</x:v>
      </x:c>
      <x:c r="D72" s="22" t="str">
        <x:v>BAIXO</x:v>
      </x:c>
      <x:c r="E72" s="22" t="str">
        <x:v>REVISAR possível duplicidade</x:v>
      </x:c>
      <x:c r="F72" s="22" t="str">
        <x:v>NÃO</x:v>
      </x:c>
      <x:c r="G72" s="22" t="str">
        <x:v>SIM</x:v>
      </x:c>
      <x:c r="H72" s="22" t="str">
        <x:v>750MG</x:v>
      </x:c>
      <x:c r="I72" s="22" t="str"/>
      <x:c r="J72" s="22" t="str">
        <x:v>CX/25 | CX | CONTEUDO50 | FATOR50</x:v>
      </x:c>
      <x:c r="K72" s="22" t="str">
        <x:v>BIOCHIMICO | EUGIA</x:v>
      </x:c>
      <x:c r="L72" s="28" t="str">
        <x:f>"GTIN: 7898739420656"</x:f>
        <x:v>GTIN: 7898739420656</x:v>
      </x:c>
      <x:c r="M72" s="22" t="str">
        <x:v>CEFUROXIMA 750MG - CX/25 - BIOCHIMICO || CEFUROXIMA 750MG - CX/25 - EUGIA</x:v>
      </x:c>
      <x:c r="N72" s="27" t="str"/>
      <x:c r="O72" s="27" t="str"/>
    </x:row>
    <x:row r="73">
      <x:c r="A73" s="28" t="str">
        <x:f>"G-090"</x:f>
        <x:v>G-090</x:v>
      </x:c>
      <x:c r="B73" s="22" t="str">
        <x:v>CLORIDRATO BUPIVACAINA</x:v>
      </x:c>
      <x:c r="C73" s="22" t="n">
        <x:v>2</x:v>
      </x:c>
      <x:c r="D73" s="22" t="str">
        <x:v>BAIXO</x:v>
      </x:c>
      <x:c r="E73" s="22" t="str">
        <x:v>REVISAR possível duplicidade</x:v>
      </x:c>
      <x:c r="F73" s="22" t="str">
        <x:v>NÃO</x:v>
      </x:c>
      <x:c r="G73" s="22" t="str">
        <x:v>SIM</x:v>
      </x:c>
      <x:c r="H73" s="22" t="str">
        <x:v>5MG/ML | 5MG | 20ML</x:v>
      </x:c>
      <x:c r="I73" s="22" t="str"/>
      <x:c r="J73" s="22" t="str">
        <x:v>CX/25 | CX | CONTEUDO25 | FATOR25</x:v>
      </x:c>
      <x:c r="K73" s="22" t="str">
        <x:v>HIPOLABOR | HYPOFARMA</x:v>
      </x:c>
      <x:c r="L73" s="28" t="str">
        <x:f>"GTIN: 7898123908982"</x:f>
        <x:v>GTIN: 7898123908982</x:v>
      </x:c>
      <x:c r="M73" s="22" t="str">
        <x:v>CLORIDRATO DE BUPIVACAINA 5MG/ML 20ML - CX/25 - HIPOLABOR || CLORIDRATO DE BUPIVACAINA 5MG/ML 20ML - CX/25 - HYPOFARMA</x:v>
      </x:c>
      <x:c r="N73" s="27" t="str"/>
      <x:c r="O73" s="27" t="str"/>
    </x:row>
    <x:row r="74">
      <x:c r="A74" s="28" t="str">
        <x:f>"G-091"</x:f>
        <x:v>G-091</x:v>
      </x:c>
      <x:c r="B74" s="22" t="str">
        <x:v>CLORIDRATO CEFEPIMA</x:v>
      </x:c>
      <x:c r="C74" s="22" t="n">
        <x:v>2</x:v>
      </x:c>
      <x:c r="D74" s="22" t="str">
        <x:v>BAIXO</x:v>
      </x:c>
      <x:c r="E74" s="22" t="str">
        <x:v>REVISAR possível duplicidade</x:v>
      </x:c>
      <x:c r="F74" s="22" t="str">
        <x:v>NÃO</x:v>
      </x:c>
      <x:c r="G74" s="22" t="str">
        <x:v>SIM</x:v>
      </x:c>
      <x:c r="H74" s="22" t="str">
        <x:v>1G</x:v>
      </x:c>
      <x:c r="I74" s="22" t="str">
        <x:v>1G</x:v>
      </x:c>
      <x:c r="J74" s="22" t="str">
        <x:v>CX/50 | CX | CONTEUDO50 | FATOR50</x:v>
      </x:c>
      <x:c r="K74" s="22" t="str">
        <x:v>EUGIA | TEUTO</x:v>
      </x:c>
      <x:c r="L74" s="28" t="str">
        <x:f>"GTIN: 7896112196129"</x:f>
        <x:v>GTIN: 7896112196129</x:v>
      </x:c>
      <x:c r="M74" s="22" t="str">
        <x:v>CLORIDRATO DE CEFEPIMA 1G - CX/50 - EUGIA || CLORIDRATO DE CEFEPIMA 1G - CX/50 - TEUTO</x:v>
      </x:c>
      <x:c r="N74" s="27" t="str"/>
      <x:c r="O74" s="27" t="str"/>
    </x:row>
    <x:row r="75">
      <x:c r="A75" s="28" t="str">
        <x:f>"G-101"</x:f>
        <x:v>G-101</x:v>
      </x:c>
      <x:c r="B75" s="22" t="str">
        <x:v>CLORIDRATO REMIFENTANILA</x:v>
      </x:c>
      <x:c r="C75" s="22" t="n">
        <x:v>2</x:v>
      </x:c>
      <x:c r="D75" s="22" t="str">
        <x:v>BAIXO</x:v>
      </x:c>
      <x:c r="E75" s="22" t="str">
        <x:v>REVISAR possível duplicidade</x:v>
      </x:c>
      <x:c r="F75" s="22" t="str">
        <x:v>NÃO</x:v>
      </x:c>
      <x:c r="G75" s="22" t="str">
        <x:v>NÃO</x:v>
      </x:c>
      <x:c r="H75" s="22" t="str">
        <x:v>2MG</x:v>
      </x:c>
      <x:c r="I75" s="22" t="str"/>
      <x:c r="J75" s="22" t="str">
        <x:v>CX/5 | CX | CONTEUDO5 | FATOR5</x:v>
      </x:c>
      <x:c r="K75" s="22" t="str">
        <x:v>CRISTALIA | UNIÃO QUÍMICA</x:v>
      </x:c>
      <x:c r="L75" s="28" t="str">
        <x:f>"GTIN: 7896676416251 | GTIN: 7896006217510"</x:f>
        <x:v>GTIN: 7896676416251 | GTIN: 7896006217510</x:v>
      </x:c>
      <x:c r="M75" s="22" t="str">
        <x:v>CLORIDRATO DE REMIFENTANILA 2MG - CX/5 - CRISTALIA || CLORIDRATO DE REMIFENTANILA 2MG - CX/5 - UNIÃO QUÍMICA</x:v>
      </x:c>
      <x:c r="N75" s="27" t="str"/>
      <x:c r="O75" s="27" t="str"/>
    </x:row>
    <x:row r="76">
      <x:c r="A76" s="28" t="str">
        <x:f>"G-134"</x:f>
        <x:v>G-134</x:v>
      </x:c>
      <x:c r="B76" s="22" t="str">
        <x:v>DIPIRONA SODICA</x:v>
      </x:c>
      <x:c r="C76" s="22" t="n">
        <x:v>2</x:v>
      </x:c>
      <x:c r="D76" s="22" t="str">
        <x:v>BAIXO</x:v>
      </x:c>
      <x:c r="E76" s="22" t="str">
        <x:v>REVISAR possível duplicidade</x:v>
      </x:c>
      <x:c r="F76" s="22" t="str">
        <x:v>NÃO</x:v>
      </x:c>
      <x:c r="G76" s="22" t="str">
        <x:v>SIM</x:v>
      </x:c>
      <x:c r="H76" s="22" t="str">
        <x:v>500MG/ML | 500MG | 2ML</x:v>
      </x:c>
      <x:c r="I76" s="22" t="str"/>
      <x:c r="J76" s="22" t="str">
        <x:v>AP | CX/100 | UN</x:v>
      </x:c>
      <x:c r="K76" s="22" t="str">
        <x:v>FARMACE | SANTISA</x:v>
      </x:c>
      <x:c r="L76" s="28" t="str">
        <x:f>"GTIN: 7898470683808"</x:f>
        <x:v>GTIN: 7898470683808</x:v>
      </x:c>
      <x:c r="M76" s="22" t="str">
        <x:v>DIPIRONA SÓDICA 500MG/ML 2ML AP CX/100 - FARMACE || DIPIRONA SÓDICA 500MG/ML 2ML AP CX/100 - SANTISA</x:v>
      </x:c>
      <x:c r="N76" s="27" t="str"/>
      <x:c r="O76" s="27" t="str"/>
    </x:row>
    <x:row r="77">
      <x:c r="A77" s="28" t="str">
        <x:f>"G-144"</x:f>
        <x:v>G-144</x:v>
      </x:c>
      <x:c r="B77" s="22" t="str">
        <x:v>EQUIPO MACROGOTAS INJ LATERAL LUER LOCK</x:v>
      </x:c>
      <x:c r="C77" s="22" t="n">
        <x:v>2</x:v>
      </x:c>
      <x:c r="D77" s="22" t="str">
        <x:v>BAIXO</x:v>
      </x:c>
      <x:c r="E77" s="22" t="str">
        <x:v>REVISAR possível duplicidade</x:v>
      </x:c>
      <x:c r="F77" s="22" t="str">
        <x:v>NÃO</x:v>
      </x:c>
      <x:c r="G77" s="22" t="str">
        <x:v>NÃO</x:v>
      </x:c>
      <x:c r="H77" s="22" t="str"/>
      <x:c r="I77" s="22" t="str"/>
      <x:c r="J77" s="22" t="str">
        <x:v>PCT/25 | PCT | CONTEUDO25 | FATOR25</x:v>
      </x:c>
      <x:c r="K77" s="22" t="str">
        <x:v>LABOR IMPORT | DESCARPACK</x:v>
      </x:c>
      <x:c r="L77" s="28" t="str">
        <x:f>"GTIN: 7898283818633"</x:f>
        <x:v>GTIN: 7898283818633</x:v>
      </x:c>
      <x:c r="M77" s="22" t="str">
        <x:v>EQUIPO MACROGOTAS C/INJ LATERAL LUER LOCK - PCT/25 - LABOR IMPORT || EQUIPO MACROGOTAS C/INJ LATERAL LUER LOCK PCT/25 DESCARPACK</x:v>
      </x:c>
      <x:c r="N77" s="27" t="str"/>
      <x:c r="O77" s="27" t="str"/>
    </x:row>
    <x:row r="78">
      <x:c r="A78" s="28" t="str">
        <x:f>"G-145"</x:f>
        <x:v>G-145</x:v>
      </x:c>
      <x:c r="B78" s="22" t="str">
        <x:v>EQUIPO MACROGOTAS INJ LATERAL LUER SLIP</x:v>
      </x:c>
      <x:c r="C78" s="22" t="n">
        <x:v>2</x:v>
      </x:c>
      <x:c r="D78" s="22" t="str">
        <x:v>BAIXO</x:v>
      </x:c>
      <x:c r="E78" s="22" t="str">
        <x:v>REVISAR possível duplicidade</x:v>
      </x:c>
      <x:c r="F78" s="22" t="str">
        <x:v>NÃO</x:v>
      </x:c>
      <x:c r="G78" s="22" t="str">
        <x:v>SIM</x:v>
      </x:c>
      <x:c r="H78" s="22" t="str"/>
      <x:c r="I78" s="22" t="str"/>
      <x:c r="J78" s="22" t="str">
        <x:v>PCT/25 | PCT | CONTEUDO25 | FATOR25</x:v>
      </x:c>
      <x:c r="K78" s="22" t="str">
        <x:v>MEDIX | DESCARPACK</x:v>
      </x:c>
      <x:c r="L78" s="28" t="str">
        <x:f>"GTIN: 7898283818633"</x:f>
        <x:v>GTIN: 7898283818633</x:v>
      </x:c>
      <x:c r="M78" s="22" t="str">
        <x:v>EQUIPO MACROGOTAS C/INJ LATERAL LUER SLIP PCT/25 - MEDIX || EQUIPO MACROGOTAS C/INJ LATERAL LUER SLIP PCT/25 DESCARPACK</x:v>
      </x:c>
      <x:c r="N78" s="27" t="str"/>
      <x:c r="O78" s="27" t="str"/>
    </x:row>
    <x:row r="79">
      <x:c r="A79" s="28" t="str">
        <x:f>"G-140"</x:f>
        <x:v>G-140</x:v>
      </x:c>
      <x:c r="B79" s="22" t="str">
        <x:v>EQUIPO NUTRICAO BOMBA INFUSUSORA COD</x:v>
      </x:c>
      <x:c r="C79" s="22" t="n">
        <x:v>2</x:v>
      </x:c>
      <x:c r="D79" s="22" t="str">
        <x:v>BAIXO</x:v>
      </x:c>
      <x:c r="E79" s="22" t="str">
        <x:v>REVISAR possível duplicidade</x:v>
      </x:c>
      <x:c r="F79" s="22" t="str">
        <x:v>NÃO</x:v>
      </x:c>
      <x:c r="G79" s="22" t="str">
        <x:v>NÃO</x:v>
      </x:c>
      <x:c r="H79" s="22" t="str"/>
      <x:c r="I79" s="22" t="str"/>
      <x:c r="J79" s="22" t="str">
        <x:v>CX/50 | CX | CONTEUDO50 | FATOR50</x:v>
      </x:c>
      <x:c r="K79" s="22" t="str">
        <x:v>HARTMANN</x:v>
      </x:c>
      <x:c r="L79" s="28" t="str">
        <x:f>"GTIN: 7898468471264 | GTIN: 7892905914703"</x:f>
        <x:v>GTIN: 7898468471264 | GTIN: 7892905914703</x:v>
      </x:c>
      <x:c r="M79" s="22" t="str">
        <x:v>EQUIPO DE NUTRIÇÃO P/ BOMBA DE INFUSUSORA (NUTRI-HART PLUS 2 VIAS) - CX/50 - HARTMANN CÓD.150.138 || EQUIPO DE NUTRIÇÃO P/ BOMBA DE INFUSUSORA (NUTRI-HART PLUS 2 VIAS) - CX/50 - HARTMANN CÓD.171.110</x:v>
      </x:c>
      <x:c r="N79" s="27" t="str"/>
      <x:c r="O79" s="27" t="str"/>
    </x:row>
    <x:row r="80">
      <x:c r="A80" s="28" t="str">
        <x:f>"G-150"</x:f>
        <x:v>G-150</x:v>
      </x:c>
      <x:c r="B80" s="22" t="str">
        <x:v>ESPARADRAPO IMPERMEAVEL 10CMX4 5M</x:v>
      </x:c>
      <x:c r="C80" s="22" t="n">
        <x:v>2</x:v>
      </x:c>
      <x:c r="D80" s="22" t="str">
        <x:v>BAIXO</x:v>
      </x:c>
      <x:c r="E80" s="22" t="str">
        <x:v>REVISAR possível duplicidade</x:v>
      </x:c>
      <x:c r="F80" s="22" t="str">
        <x:v>NÃO</x:v>
      </x:c>
      <x:c r="G80" s="22" t="str">
        <x:v>NÃO</x:v>
      </x:c>
      <x:c r="H80" s="22" t="str"/>
      <x:c r="I80" s="22" t="str"/>
      <x:c r="J80" s="22" t="str">
        <x:v>CX | CONTEUDO24 | FATOR24</x:v>
      </x:c>
      <x:c r="K80" s="22" t="str">
        <x:v>HAIBRETH | MISSNER</x:v>
      </x:c>
      <x:c r="L80" s="28" t="str">
        <x:f>"GTIN: 7908414483804"</x:f>
        <x:v>GTIN: 7908414483804</x:v>
      </x:c>
      <x:c r="M80" s="22" t="str">
        <x:v>ESPARADRAPO IMPERMEÁVEL 10CMX4,5M - HAIBRETH || ESPARADRAPO IMPERMEÁVEL 10CMX4,5M - MISSNER</x:v>
      </x:c>
      <x:c r="N80" s="27" t="str"/>
      <x:c r="O80" s="27" t="str"/>
    </x:row>
    <x:row r="81">
      <x:c r="A81" s="28" t="str">
        <x:f>"G-153"</x:f>
        <x:v>G-153</x:v>
      </x:c>
      <x:c r="B81" s="22" t="str">
        <x:v>ESPONJA HEMOSTATICA</x:v>
      </x:c>
      <x:c r="C81" s="22" t="n">
        <x:v>2</x:v>
      </x:c>
      <x:c r="D81" s="22" t="str">
        <x:v>BAIXO</x:v>
      </x:c>
      <x:c r="E81" s="22" t="str">
        <x:v>REVISAR possível duplicidade</x:v>
      </x:c>
      <x:c r="F81" s="22" t="str">
        <x:v>NÃO</x:v>
      </x:c>
      <x:c r="G81" s="22" t="str">
        <x:v>SIM</x:v>
      </x:c>
      <x:c r="H81" s="22" t="str"/>
      <x:c r="I81" s="22" t="str">
        <x:v>125X80X10MM</x:v>
      </x:c>
      <x:c r="J81" s="22" t="str">
        <x:v>UND</x:v>
      </x:c>
      <x:c r="K81" s="22" t="str">
        <x:v>CUTANPLAST | MAQUIRA</x:v>
      </x:c>
      <x:c r="L81" s="28" t="str">
        <x:f>"GTIN: 7898254941919"</x:f>
        <x:v>GTIN: 7898254941919</x:v>
      </x:c>
      <x:c r="M81" s="22" t="str">
        <x:v>ESPONJA HEMOSTATICA 125X80X10MM - CUTANPLAST || ESPONJA HEMOSTATICA 125X80X10MM - MAQUIRA (HEMOSPON)</x:v>
      </x:c>
      <x:c r="N81" s="27" t="str"/>
      <x:c r="O81" s="27" t="str"/>
    </x:row>
    <x:row r="82">
      <x:c r="A82" s="28" t="str">
        <x:f>"G-177"</x:f>
        <x:v>G-177</x:v>
      </x:c>
      <x:c r="B82" s="22" t="str">
        <x:v>HEMITARTARATO NOREPINEFRINA</x:v>
      </x:c>
      <x:c r="C82" s="22" t="n">
        <x:v>2</x:v>
      </x:c>
      <x:c r="D82" s="22" t="str">
        <x:v>BAIXO</x:v>
      </x:c>
      <x:c r="E82" s="22" t="str">
        <x:v>REVISAR possível duplicidade</x:v>
      </x:c>
      <x:c r="F82" s="22" t="str">
        <x:v>NÃO</x:v>
      </x:c>
      <x:c r="G82" s="22" t="str">
        <x:v>NÃO</x:v>
      </x:c>
      <x:c r="H82" s="22" t="str">
        <x:v>2MG/ML | 2MG | 4ML</x:v>
      </x:c>
      <x:c r="I82" s="22" t="str"/>
      <x:c r="J82" s="22" t="str">
        <x:v>FR | CX/50 | CX | CONTEUDO50 | FATOR50</x:v>
      </x:c>
      <x:c r="K82" s="22" t="str">
        <x:v>HIPOLABOR | HYPOFARMA</x:v>
      </x:c>
      <x:c r="L82" s="28" t="str">
        <x:f>"GTIN: 7891008759099"</x:f>
        <x:v>GTIN: 7891008759099</x:v>
      </x:c>
      <x:c r="M82" s="22" t="str">
        <x:v>HEMITARTARATO DE NOREPINEFRINA 2MG/ML FR 4ML - HIPOLABOR - CX/50 || HEMITARTARATO DE NOREPINEFRINA 2MG/ML FR 4ML - HYPOFARMA - CX/50</x:v>
      </x:c>
      <x:c r="N82" s="27" t="str"/>
      <x:c r="O82" s="27" t="str"/>
    </x:row>
    <x:row r="83">
      <x:c r="A83" s="28" t="str">
        <x:f>"G-181"</x:f>
        <x:v>G-181</x:v>
      </x:c>
      <x:c r="B83" s="22" t="str">
        <x:v>HIPOCLORITO SODIO</x:v>
      </x:c>
      <x:c r="C83" s="22" t="n">
        <x:v>2</x:v>
      </x:c>
      <x:c r="D83" s="22" t="str">
        <x:v>BAIXO</x:v>
      </x:c>
      <x:c r="E83" s="22" t="str">
        <x:v>REVISAR possível duplicidade</x:v>
      </x:c>
      <x:c r="F83" s="22" t="str">
        <x:v>NÃO</x:v>
      </x:c>
      <x:c r="G83" s="22" t="str">
        <x:v>NÃO</x:v>
      </x:c>
      <x:c r="H83" s="22" t="str">
        <x:v>5L</x:v>
      </x:c>
      <x:c r="I83" s="22" t="str"/>
      <x:c r="J83" s="22" t="str">
        <x:v>UND</x:v>
      </x:c>
      <x:c r="K83" s="22" t="str">
        <x:v>CORDEX</x:v>
      </x:c>
      <x:c r="L83" s="28" t="str">
        <x:f>"GTIN: 7897534817241 | GTIN: 7890000192484"</x:f>
        <x:v>GTIN: 7897534817241 | GTIN: 7890000192484</x:v>
      </x:c>
      <x:c r="M83" s="22" t="str">
        <x:v>HIPOCLORITO DE SODIO 1% 5L CORDEX || HIPOCLORITO DE SODIO 5% 5L CORDEX</x:v>
      </x:c>
      <x:c r="N83" s="27" t="str"/>
      <x:c r="O83" s="27" t="str"/>
    </x:row>
    <x:row r="84">
      <x:c r="A84" s="28" t="str">
        <x:f>"G-185"</x:f>
        <x:v>G-185</x:v>
      </x:c>
      <x:c r="B84" s="22" t="str">
        <x:v>INSULINA HUMANA NPH ML</x:v>
      </x:c>
      <x:c r="C84" s="22" t="n">
        <x:v>2</x:v>
      </x:c>
      <x:c r="D84" s="22" t="str">
        <x:v>BAIXO</x:v>
      </x:c>
      <x:c r="E84" s="22" t="str">
        <x:v>REVISAR possível duplicidade</x:v>
      </x:c>
      <x:c r="F84" s="22" t="str">
        <x:v>NÃO</x:v>
      </x:c>
      <x:c r="G84" s="22" t="str">
        <x:v>NÃO</x:v>
      </x:c>
      <x:c r="H84" s="22" t="str">
        <x:v>100UI | 10ML</x:v>
      </x:c>
      <x:c r="I84" s="22" t="str"/>
      <x:c r="J84" s="22" t="str">
        <x:v>UND</x:v>
      </x:c>
      <x:c r="K84" s="22" t="str">
        <x:v>ELI LILLY | NOVO NORDISK</x:v>
      </x:c>
      <x:c r="L84" s="28" t="str">
        <x:f>"GTIN: 7897705203231"</x:f>
        <x:v>GTIN: 7897705203231</x:v>
      </x:c>
      <x:c r="M84" s="22" t="str">
        <x:v>INSULINA HUMANA NPH 100UI/ML 10ML - ELI LILLY || INSULINA HUMANA NPH 100UI/ML 10ML - NOVO NORDISK (NOVOLIN)</x:v>
      </x:c>
      <x:c r="N84" s="27" t="str"/>
      <x:c r="O84" s="27" t="str"/>
    </x:row>
    <x:row r="85">
      <x:c r="A85" s="28" t="str">
        <x:f>"G-200"</x:f>
        <x:v>G-200</x:v>
      </x:c>
      <x:c r="B85" s="22" t="str">
        <x:v>LIDOCAINA SPRAY</x:v>
      </x:c>
      <x:c r="C85" s="22" t="n">
        <x:v>2</x:v>
      </x:c>
      <x:c r="D85" s="22" t="str">
        <x:v>BAIXO</x:v>
      </x:c>
      <x:c r="E85" s="22" t="str">
        <x:v>REVISAR possível duplicidade</x:v>
      </x:c>
      <x:c r="F85" s="22" t="str">
        <x:v>NÃO</x:v>
      </x:c>
      <x:c r="G85" s="22" t="str">
        <x:v>SIM</x:v>
      </x:c>
      <x:c r="H85" s="22" t="str">
        <x:v>100MG/ML | 100MG | 50ML</x:v>
      </x:c>
      <x:c r="I85" s="22" t="str"/>
      <x:c r="J85" s="22" t="str">
        <x:v>CX | CONTEUDO1</x:v>
      </x:c>
      <x:c r="K85" s="22" t="str">
        <x:v>CRISTALIA | HIPOLABOR</x:v>
      </x:c>
      <x:c r="L85" s="28" t="str">
        <x:f>"GTIN: 7898123908999"</x:f>
        <x:v>GTIN: 7898123908999</x:v>
      </x:c>
      <x:c r="M85" s="22" t="str">
        <x:v>LIDOCAINA 10% (100MG/ML) SPRAY 50ML - CRISTALIA || LIDOCAINA 10% (100MG/ML) SPRAY 50ML - HIPOLABOR</x:v>
      </x:c>
      <x:c r="N85" s="27" t="str"/>
      <x:c r="O85" s="27" t="str"/>
    </x:row>
    <x:row r="86">
      <x:c r="A86" s="28" t="str">
        <x:f>"G-204"</x:f>
        <x:v>G-204</x:v>
      </x:c>
      <x:c r="B86" s="22" t="str">
        <x:v>LUVA CIR LATEX PO TAM ESTERIL</x:v>
      </x:c>
      <x:c r="C86" s="22" t="n">
        <x:v>2</x:v>
      </x:c>
      <x:c r="D86" s="22" t="str">
        <x:v>BAIXO</x:v>
      </x:c>
      <x:c r="E86" s="22" t="str">
        <x:v>REVISAR possível duplicidade</x:v>
      </x:c>
      <x:c r="F86" s="22" t="str">
        <x:v>NÃO</x:v>
      </x:c>
      <x:c r="G86" s="22" t="str">
        <x:v>NÃO</x:v>
      </x:c>
      <x:c r="H86" s="22" t="str"/>
      <x:c r="I86" s="22" t="str"/>
      <x:c r="J86" s="22" t="str">
        <x:v>1PAR</x:v>
      </x:c>
      <x:c r="K86" s="22" t="str">
        <x:v>MEDIX | DESCARPACK</x:v>
      </x:c>
      <x:c r="L86" s="28" t="str">
        <x:f>"GTIN: 7898945443135 | GTIN: 7898945443142"</x:f>
        <x:v>GTIN: 7898945443135 | GTIN: 7898945443142</x:v>
      </x:c>
      <x:c r="M86" s="22" t="str">
        <x:v>LUVA CIR LATEX C/ PO TAM. 7.5 ESTÉRIL - MEDIX || LUVA CIR LATEX C/ PO TAM. 8.0 ESTÉRIL - DESCARPACK</x:v>
      </x:c>
      <x:c r="N86" s="27" t="str"/>
      <x:c r="O86" s="27" t="str"/>
    </x:row>
    <x:row r="87">
      <x:c r="A87" s="28" t="str">
        <x:f>"G-212"</x:f>
        <x:v>G-212</x:v>
      </x:c>
      <x:c r="B87" s="22" t="str">
        <x:v>LUVA NITRILICA PROCEDIMENTO M PO NAO ESTERIL</x:v>
      </x:c>
      <x:c r="C87" s="22" t="n">
        <x:v>2</x:v>
      </x:c>
      <x:c r="D87" s="22" t="str">
        <x:v>BAIXO</x:v>
      </x:c>
      <x:c r="E87" s="22" t="str">
        <x:v>REVISAR possível duplicidade</x:v>
      </x:c>
      <x:c r="F87" s="22" t="str">
        <x:v>NÃO</x:v>
      </x:c>
      <x:c r="G87" s="22" t="str">
        <x:v>NÃO</x:v>
      </x:c>
      <x:c r="H87" s="22" t="str"/>
      <x:c r="I87" s="22" t="str"/>
      <x:c r="J87" s="22" t="str">
        <x:v>CX/100 | CX | CONTEUDO100 | FATOR100</x:v>
      </x:c>
      <x:c r="K87" s="22" t="str">
        <x:v>MEDIX | SAFE MAX</x:v>
      </x:c>
      <x:c r="L87" s="28" t="str"/>
      <x:c r="M87" s="22" t="str">
        <x:v>LUVA NITRÍLICA P/ PROCEDIMENTO M S/PÓ NÃO ESTÉRIL - CX/100 - MEDIX || LUVA NITRÍLICA P/ PROCEDIMENTO M S/PÓ NÃO ESTÉRIL - CX/100 - SAFE MAX</x:v>
      </x:c>
      <x:c r="N87" s="27" t="str"/>
      <x:c r="O87" s="27" t="str"/>
    </x:row>
    <x:row r="88">
      <x:c r="A88" s="28" t="str">
        <x:f>"G-235"</x:f>
        <x:v>G-235</x:v>
      </x:c>
      <x:c r="B88" s="22" t="str">
        <x:v>NITROPRUSSETO SODIO</x:v>
      </x:c>
      <x:c r="C88" s="22" t="n">
        <x:v>2</x:v>
      </x:c>
      <x:c r="D88" s="22" t="str">
        <x:v>BAIXO</x:v>
      </x:c>
      <x:c r="E88" s="22" t="str">
        <x:v>REVISAR possível duplicidade</x:v>
      </x:c>
      <x:c r="F88" s="22" t="str">
        <x:v>NÃO</x:v>
      </x:c>
      <x:c r="G88" s="22" t="str">
        <x:v>SIM</x:v>
      </x:c>
      <x:c r="H88" s="22" t="str">
        <x:v>50MG/2ML | 50MG | 2ML</x:v>
      </x:c>
      <x:c r="I88" s="22" t="str"/>
      <x:c r="J88" s="22" t="str">
        <x:v>CX/5 | CX | CONTEUDO5 | FATOR5</x:v>
      </x:c>
      <x:c r="K88" s="22" t="str">
        <x:v>CRISTÁLIA | HYPOFARMA</x:v>
      </x:c>
      <x:c r="L88" s="28" t="str">
        <x:f>"GTIN: 7896676403688"</x:f>
        <x:v>GTIN: 7896676403688</x:v>
      </x:c>
      <x:c r="M88" s="22" t="str">
        <x:v>NITROPRUSSETO DE SÓDIO 50MG/2ML - CX/5 - CRISTÁLIA || NITROPRUSSETO DE SÓDIO 50MG/2ML - CX/5 - HYPOFARMA</x:v>
      </x:c>
      <x:c r="N88" s="27" t="str"/>
      <x:c r="O88" s="27" t="str"/>
    </x:row>
    <x:row r="89">
      <x:c r="A89" s="28" t="str">
        <x:f>"G-241"</x:f>
        <x:v>G-241</x:v>
      </x:c>
      <x:c r="B89" s="22" t="str">
        <x:v>PAPEL LENCOL RL BRANCO</x:v>
      </x:c>
      <x:c r="C89" s="22" t="n">
        <x:v>2</x:v>
      </x:c>
      <x:c r="D89" s="22" t="str">
        <x:v>BAIXO</x:v>
      </x:c>
      <x:c r="E89" s="22" t="str">
        <x:v>REVISAR possível duplicidade</x:v>
      </x:c>
      <x:c r="F89" s="22" t="str">
        <x:v>NÃO</x:v>
      </x:c>
      <x:c r="G89" s="22" t="str">
        <x:v>NÃO</x:v>
      </x:c>
      <x:c r="H89" s="22" t="str"/>
      <x:c r="I89" s="22" t="str">
        <x:v>70X50CM</x:v>
      </x:c>
      <x:c r="J89" s="22" t="str">
        <x:v>CX/10 | CX | CONTEUDO10 | FATOR10</x:v>
      </x:c>
      <x:c r="K89" s="22" t="str">
        <x:v>CLEAN | BELIPEL CIPEL</x:v>
      </x:c>
      <x:c r="L89" s="28" t="str"/>
      <x:c r="M89" s="22" t="str">
        <x:v>PAPEL LENÇOL 70X50 CM - CX/10 RL BRANCO - CLEAN || PAPEL LENÇOL 70X50 CM CX/10 RL BRANCO - BELIPEL CIPEL</x:v>
      </x:c>
      <x:c r="N89" s="27" t="str"/>
      <x:c r="O89" s="27" t="str"/>
    </x:row>
    <x:row r="90">
      <x:c r="A90" s="28" t="str">
        <x:f>"G-251"</x:f>
        <x:v>G-251</x:v>
      </x:c>
      <x:c r="B90" s="22" t="str">
        <x:v>SACARATO OXIDO FERRICO</x:v>
      </x:c>
      <x:c r="C90" s="22" t="n">
        <x:v>2</x:v>
      </x:c>
      <x:c r="D90" s="22" t="str">
        <x:v>BAIXO</x:v>
      </x:c>
      <x:c r="E90" s="22" t="str">
        <x:v>REVISAR possível duplicidade</x:v>
      </x:c>
      <x:c r="F90" s="22" t="str">
        <x:v>NÃO</x:v>
      </x:c>
      <x:c r="G90" s="22" t="str">
        <x:v>NÃO</x:v>
      </x:c>
      <x:c r="H90" s="22" t="str">
        <x:v>20MG/ML | 20MG | 5ML</x:v>
      </x:c>
      <x:c r="I90" s="22" t="str"/>
      <x:c r="J90" s="22" t="str">
        <x:v>AP | CX/50 | UN</x:v>
      </x:c>
      <x:c r="K90" s="22" t="str">
        <x:v>BLAU | VMG</x:v>
      </x:c>
      <x:c r="L90" s="28" t="str">
        <x:f>"GTIN: 7896014673100"</x:f>
        <x:v>GTIN: 7896014673100</x:v>
      </x:c>
      <x:c r="M90" s="22" t="str">
        <x:v>SACARATO DE ÓXIDO FÉRRICO 20MG/ML 5ML AP CX/50 - BLAU || SACARATO DE ÓXIDO FÉRRICO 20MG/ML 5ML AP CX/50 - VMG</x:v>
      </x:c>
      <x:c r="N90" s="27" t="str"/>
      <x:c r="O90" s="27" t="str"/>
    </x:row>
    <x:row r="91">
      <x:c r="A91" s="28" t="str">
        <x:f>"G-269"</x:f>
        <x:v>G-269</x:v>
      </x:c>
      <x:c r="B91" s="22" t="str">
        <x:v>SEVOFLURANO</x:v>
      </x:c>
      <x:c r="C91" s="22" t="n">
        <x:v>2</x:v>
      </x:c>
      <x:c r="D91" s="22" t="str">
        <x:v>BAIXO</x:v>
      </x:c>
      <x:c r="E91" s="22" t="str">
        <x:v>REVISAR possível duplicidade</x:v>
      </x:c>
      <x:c r="F91" s="22" t="str">
        <x:v>NÃO</x:v>
      </x:c>
      <x:c r="G91" s="22" t="str">
        <x:v>NÃO</x:v>
      </x:c>
      <x:c r="H91" s="22" t="str">
        <x:v>250ML</x:v>
      </x:c>
      <x:c r="I91" s="22" t="str"/>
      <x:c r="J91" s="22" t="str">
        <x:v>UND</x:v>
      </x:c>
      <x:c r="K91" s="22" t="str">
        <x:v>CRISTALIA | UNIÃO QUIMICA</x:v>
      </x:c>
      <x:c r="L91" s="28" t="str"/>
      <x:c r="M91" s="22" t="str">
        <x:v>SEVOFLURANO 250ML - CRISTALIA || SEVOFLURANO 250ML - UNIÃO QUIMICA</x:v>
      </x:c>
      <x:c r="N91" s="27" t="str"/>
      <x:c r="O91" s="27" t="str"/>
    </x:row>
    <x:row r="92">
      <x:c r="A92" s="28" t="str">
        <x:f>"G-270"</x:f>
        <x:v>G-270</x:v>
      </x:c>
      <x:c r="B92" s="22" t="str">
        <x:v>SEVOFLURANO SEVONESS</x:v>
      </x:c>
      <x:c r="C92" s="22" t="n">
        <x:v>2</x:v>
      </x:c>
      <x:c r="D92" s="22" t="str">
        <x:v>BAIXO</x:v>
      </x:c>
      <x:c r="E92" s="22" t="str">
        <x:v>REVISAR possível duplicidade</x:v>
      </x:c>
      <x:c r="F92" s="22" t="str">
        <x:v>NÃO</x:v>
      </x:c>
      <x:c r="G92" s="22" t="str">
        <x:v>NÃO</x:v>
      </x:c>
      <x:c r="H92" s="22" t="str">
        <x:v>250ML</x:v>
      </x:c>
      <x:c r="I92" s="22" t="str"/>
      <x:c r="J92" s="22" t="str">
        <x:v>UND</x:v>
      </x:c>
      <x:c r="K92" s="22" t="str">
        <x:v>BAXTER | BIOCHIMICO</x:v>
      </x:c>
      <x:c r="L92" s="28" t="str">
        <x:f>"GTIN: 07896006209980"</x:f>
        <x:v>GTIN: 07896006209980</x:v>
      </x:c>
      <x:c r="M92" s="22" t="str">
        <x:v>SEVOFLURANO SEVONESS 250ML - BAXTER || SEVOFLURANO SEVONESS 250ML - BIOCHIMICO</x:v>
      </x:c>
      <x:c r="N92" s="27" t="str"/>
      <x:c r="O92" s="27" t="str"/>
    </x:row>
    <x:row r="93">
      <x:c r="A93" s="28" t="str">
        <x:f>"G-278"</x:f>
        <x:v>G-278</x:v>
      </x:c>
      <x:c r="B93" s="22" t="str">
        <x:v>SONDA ENDOTRAQUEAL ARAMADA COM BALAO</x:v>
      </x:c>
      <x:c r="C93" s="22" t="n">
        <x:v>2</x:v>
      </x:c>
      <x:c r="D93" s="22" t="str">
        <x:v>BAIXO</x:v>
      </x:c>
      <x:c r="E93" s="22" t="str">
        <x:v>REVISAR possível duplicidade</x:v>
      </x:c>
      <x:c r="F93" s="22" t="str">
        <x:v>NÃO</x:v>
      </x:c>
      <x:c r="G93" s="22" t="str">
        <x:v>NÃO</x:v>
      </x:c>
      <x:c r="H93" s="22" t="str"/>
      <x:c r="I93" s="22" t="str"/>
      <x:c r="J93" s="22" t="str">
        <x:v>CX/10 | CX | CONTEUDO10 | FATOR10</x:v>
      </x:c>
      <x:c r="K93" s="22" t="str">
        <x:v>WELLEAD</x:v>
      </x:c>
      <x:c r="L93" s="28" t="str">
        <x:f>"GTIN: 7898157722509 | GTIN: 7899780169686"</x:f>
        <x:v>GTIN: 7898157722509 | GTIN: 7899780169686</x:v>
      </x:c>
      <x:c r="M93" s="22" t="str">
        <x:v>SONDA ENDOTRAQUEAL 5.0 ARAMADA COM BALÃO - CX/10 - WELLEAD || SONDA ENDOTRAQUEAL 5.5 ARAMADA COM BALÃO - CX/10 - WELLEAD</x:v>
      </x:c>
      <x:c r="N93" s="27" t="str"/>
      <x:c r="O93" s="27" t="str"/>
    </x:row>
    <x:row r="94">
      <x:c r="A94" s="28" t="str">
        <x:f>"G-283"</x:f>
        <x:v>G-283</x:v>
      </x:c>
      <x:c r="B94" s="22" t="str">
        <x:v>SULFATO EFEDRINA</x:v>
      </x:c>
      <x:c r="C94" s="22" t="n">
        <x:v>2</x:v>
      </x:c>
      <x:c r="D94" s="22" t="str">
        <x:v>BAIXO</x:v>
      </x:c>
      <x:c r="E94" s="22" t="str">
        <x:v>REVISAR possível duplicidade</x:v>
      </x:c>
      <x:c r="F94" s="22" t="str">
        <x:v>NÃO</x:v>
      </x:c>
      <x:c r="G94" s="22" t="str">
        <x:v>SIM</x:v>
      </x:c>
      <x:c r="H94" s="22" t="str">
        <x:v>50MG/ML | 50MG | 1ML</x:v>
      </x:c>
      <x:c r="I94" s="22" t="str"/>
      <x:c r="J94" s="22" t="str">
        <x:v>CX/25 | CX | CONTEUDO25 | FATOR25</x:v>
      </x:c>
      <x:c r="K94" s="22" t="str">
        <x:v>HIPOLABOR | UNIÃO QUIMICA</x:v>
      </x:c>
      <x:c r="L94" s="28" t="str">
        <x:f>"GTIN: 7896006238690"</x:f>
        <x:v>GTIN: 7896006238690</x:v>
      </x:c>
      <x:c r="M94" s="22" t="str">
        <x:v>SULFATO DE EFEDRINA 50MG/ML 1ML - CX/25 - HIPOLABOR || SULFATO DE EFEDRINA 50MG/ML 1ML - CX/25 - UNIÃO QUIMICA</x:v>
      </x:c>
      <x:c r="N94" s="27" t="str"/>
      <x:c r="O94" s="27" t="str"/>
    </x:row>
    <x:row r="95">
      <x:c r="A95" s="28" t="str">
        <x:f>"G-294"</x:f>
        <x:v>G-294</x:v>
      </x:c>
      <x:c r="B95" s="22" t="str">
        <x:v>TOUCA BRANCA DESC SANFONADA ELASTICO</x:v>
      </x:c>
      <x:c r="C95" s="22" t="n">
        <x:v>2</x:v>
      </x:c>
      <x:c r="D95" s="22" t="str">
        <x:v>BAIXO</x:v>
      </x:c>
      <x:c r="E95" s="22" t="str">
        <x:v>REVISAR possível duplicidade</x:v>
      </x:c>
      <x:c r="F95" s="22" t="str">
        <x:v>NÃO</x:v>
      </x:c>
      <x:c r="G95" s="22" t="str">
        <x:v>NÃO</x:v>
      </x:c>
      <x:c r="H95" s="22" t="str"/>
      <x:c r="I95" s="22" t="str"/>
      <x:c r="J95" s="22" t="str">
        <x:v>PCT/100 | PC | CONTEUDO100 | FATOR100</x:v>
      </x:c>
      <x:c r="K95" s="22" t="str">
        <x:v>ANADONA | DEJAMARO</x:v>
      </x:c>
      <x:c r="L95" s="28" t="str">
        <x:f>"GTIN: 7898433202565"</x:f>
        <x:v>GTIN: 7898433202565</x:v>
      </x:c>
      <x:c r="M95" s="22" t="str">
        <x:v>TOUCA BRANCA DESC. SANFONADA C/ELASTICO - PCT/100 - ANADONA || TOUCA BRANCA DESC. SANFONADA C/ELASTICO - PCT/100 - DEJAMARO</x:v>
      </x:c>
      <x:c r="N95" s="27" t="str"/>
      <x:c r="O95" s="27" t="str"/>
    </x:row>
  </x:sheetData>
  <x:mergeCells>
    <x:mergeCell ref="A1:J1"/>
    <x:mergeCell ref="A2:J2"/>
  </x:mergeCells>
  <x:conditionalFormatting sqref="D5:D95">
    <x:cfRule type="containsText" dxfId="0" priority="1" operator="containsText" text="ALTO"/>
    <x:cfRule type="containsText" dxfId="1" priority="2" operator="containsText" text="MÉDIO"/>
    <x:cfRule type="containsText" dxfId="2" priority="3" operator="containsText" text="BAIXO"/>
  </x:conditionalFormatting>
  <x:pageMargins left="0.7" right="0.7" top="0.75" bottom="0.75" header="0.3" footer="0.3"/>
  <x:tableParts count="1">
    <x:tablePart xmlns:r="http://schemas.openxmlformats.org/officeDocument/2006/relationships" r:id="R783028bea82e4b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32" hidden="0" customWidth="1"/>
    <x:col min="5" max="5" width="14" hidden="0" customWidth="1"/>
    <x:col min="6" max="6" width="56" hidden="0" customWidth="1"/>
    <x:col min="7" max="7" width="34" hidden="0" customWidth="1"/>
    <x:col min="8" max="8" width="28" hidden="0" customWidth="1"/>
    <x:col min="9" max="9" width="24" hidden="0" customWidth="1"/>
    <x:col min="10" max="10" width="22" hidden="0" customWidth="1"/>
    <x:col min="11" max="11" width="16" hidden="0" customWidth="1"/>
    <x:col min="12" max="12" width="18" hidden="0" customWidth="1"/>
    <x:col min="13" max="13" width="18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24" hidden="0" customWidth="1"/>
    <x:col min="19" max="19" width="38" hidden="0" customWidth="1"/>
    <x:col min="20" max="20" width="56" hidden="0" customWidth="1"/>
    <x:col min="21" max="21" width="22" hidden="0" customWidth="1"/>
    <x:col min="22" max="22" width="56" hidden="0" customWidth="1"/>
  </x:cols>
  <x:sheetData>
    <x:row r="1" ht="28" customHeight="1">
      <x:c r="A1" s="3" t="str">
        <x:v>Produtos para revisar antes do cadastro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Linhas amarelas ao final são para decidir ajuste/cadastro. Não consolide automaticamente produtos com diferença clínica, dimensional ou de apresentação.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26" t="str">
        <x:v>Grupo</x:v>
      </x:c>
      <x:c r="B4" s="26" t="str">
        <x:v>Nome_Base</x:v>
      </x:c>
      <x:c r="C4" s="26" t="str">
        <x:v>Risco_Grupo</x:v>
      </x:c>
      <x:c r="D4" s="26" t="str">
        <x:v>Acao_Sugerida</x:v>
      </x:c>
      <x:c r="E4" s="26" t="str">
        <x:v>Codigo</x:v>
      </x:c>
      <x:c r="F4" s="26" t="str">
        <x:v>Descricao_Atual</x:v>
      </x:c>
      <x:c r="G4" s="26" t="str">
        <x:v>Base_Normalizada</x:v>
      </x:c>
      <x:c r="H4" s="26" t="str">
        <x:v>Dosagem_Volume_%</x:v>
      </x:c>
      <x:c r="I4" s="26" t="str">
        <x:v>Dimensao_Calibre</x:v>
      </x:c>
      <x:c r="J4" s="26" t="str">
        <x:v>Embalagem</x:v>
      </x:c>
      <x:c r="K4" s="26" t="str">
        <x:v>Apresentacao</x:v>
      </x:c>
      <x:c r="L4" s="26" t="str">
        <x:v>Marca</x:v>
      </x:c>
      <x:c r="M4" s="26" t="str">
        <x:v>GTIN</x:v>
      </x:c>
      <x:c r="N4" s="26" t="str">
        <x:v>NCM</x:v>
      </x:c>
      <x:c r="O4" s="26" t="str">
        <x:v>Custo</x:v>
      </x:c>
      <x:c r="P4" s="26" t="str">
        <x:v>Venda</x:v>
      </x:c>
      <x:c r="Q4" s="26" t="str">
        <x:v>Linhas_Fonte</x:v>
      </x:c>
      <x:c r="R4" s="26" t="str">
        <x:v>Codigos_Fonte</x:v>
      </x:c>
      <x:c r="S4" s="26" t="str">
        <x:v>Pendencias_Originais</x:v>
      </x:c>
      <x:c r="T4" s="26" t="str">
        <x:v>Nome_Sugerido</x:v>
      </x:c>
      <x:c r="U4" s="26" t="str">
        <x:v>Decisao_Manual</x:v>
      </x:c>
      <x:c r="V4" s="26" t="str">
        <x:v>Nome_Final_Ajustado</x:v>
      </x:c>
    </x:row>
    <x:row r="5">
      <x:c r="A5" s="28" t="str">
        <x:f>"G-295"</x:f>
        <x:v>G-295</x:v>
      </x:c>
      <x:c r="B5" s="22" t="str">
        <x:v>TUBO ENDOTRAQUEAL ARAMADO BALAO</x:v>
      </x:c>
      <x:c r="C5" s="22" t="str">
        <x:v>ALTO</x:v>
      </x:c>
      <x:c r="D5" s="22" t="str">
        <x:v>REVISAR GTIN repetido; não consolidar automaticamente</x:v>
      </x:c>
      <x:c r="E5" s="28" t="str">
        <x:f>"TEA0010"</x:f>
        <x:v>TEA0010</x:v>
      </x:c>
      <x:c r="F5" s="22" t="str">
        <x:v>TUBO ENDOTRAQUEAL ARAMADO C/BALÃO 3,5 - CX/25 - MEDIX</x:v>
      </x:c>
      <x:c r="G5" s="22" t="str">
        <x:v>TUBO ENDOTRAQUEAL ARAMADO BALAO</x:v>
      </x:c>
      <x:c r="H5" s="22" t="str"/>
      <x:c r="I5" s="22" t="str"/>
      <x:c r="J5" s="22" t="str">
        <x:v>CX/25 | CX | CONTEUDO25 | FATOR25</x:v>
      </x:c>
      <x:c r="K5" s="22" t="str">
        <x:v>CAIXA</x:v>
      </x:c>
      <x:c r="L5" s="22" t="str">
        <x:v>MEDIX</x:v>
      </x:c>
      <x:c r="M5" s="28" t="str">
        <x:f>"GTIN: 7898913077164"</x:f>
        <x:v>GTIN: 7898913077164</x:v>
      </x:c>
      <x:c r="N5" s="28" t="str">
        <x:f>"90183929"</x:f>
        <x:v>90183929</x:v>
      </x:c>
      <x:c r="O5" s="29" t="n">
        <x:v>3.8</x:v>
      </x:c>
      <x:c r="P5" s="29" t="n">
        <x:v>14.78</x:v>
      </x:c>
      <x:c r="Q5" s="28" t="str">
        <x:f>"801"</x:f>
        <x:v>801</x:v>
      </x:c>
      <x:c r="R5" s="28" t="str">
        <x:f>"TEA0010"</x:f>
        <x:v>TEA0010</x:v>
      </x:c>
      <x:c r="S5" s="22" t="str">
        <x:v>GTIN repetido em produtos distintos</x:v>
      </x:c>
      <x:c r="T5" s="22" t="str">
        <x:v>TUBO ENDOTRAQUEAL ARAMADO BALAO - CAIXA - CX/25 | CX | CONTEUDO25 | FATOR25 - MEDIX</x:v>
      </x:c>
      <x:c r="U5" s="27" t="str"/>
      <x:c r="V5" s="27" t="str"/>
    </x:row>
    <x:row r="6">
      <x:c r="A6" s="28" t="str">
        <x:f>"G-295"</x:f>
        <x:v>G-295</x:v>
      </x:c>
      <x:c r="B6" s="22" t="str">
        <x:v>TUBO ENDOTRAQUEAL ARAMADO BALAO</x:v>
      </x:c>
      <x:c r="C6" s="22" t="str">
        <x:v>ALTO</x:v>
      </x:c>
      <x:c r="D6" s="22" t="str">
        <x:v>REVISAR GTIN repetido; não consolidar automaticamente</x:v>
      </x:c>
      <x:c r="E6" s="28" t="str">
        <x:f>"TEA0009"</x:f>
        <x:v>TEA0009</x:v>
      </x:c>
      <x:c r="F6" s="22" t="str">
        <x:v>TUBO ENDOTRAQUEAL ARAMADO C/BALÃO 4,0 - CX/25 - MEDIX</x:v>
      </x:c>
      <x:c r="G6" s="22" t="str">
        <x:v>TUBO ENDOTRAQUEAL ARAMADO BALAO</x:v>
      </x:c>
      <x:c r="H6" s="22" t="str"/>
      <x:c r="I6" s="22" t="str"/>
      <x:c r="J6" s="22" t="str">
        <x:v>CX/25 | CX | CONTEUDO25 | FATOR25</x:v>
      </x:c>
      <x:c r="K6" s="22" t="str">
        <x:v>CAIXA</x:v>
      </x:c>
      <x:c r="L6" s="22" t="str">
        <x:v>MEDIX</x:v>
      </x:c>
      <x:c r="M6" s="28" t="str">
        <x:f>"GTIN: 7898913077164"</x:f>
        <x:v>GTIN: 7898913077164</x:v>
      </x:c>
      <x:c r="N6" s="28" t="str">
        <x:f>"90183929"</x:f>
        <x:v>90183929</x:v>
      </x:c>
      <x:c r="O6" s="29" t="n">
        <x:v>3.8</x:v>
      </x:c>
      <x:c r="P6" s="29" t="n">
        <x:v>14.78</x:v>
      </x:c>
      <x:c r="Q6" s="28" t="str">
        <x:f>"802"</x:f>
        <x:v>802</x:v>
      </x:c>
      <x:c r="R6" s="28" t="str">
        <x:f>"TEA0009"</x:f>
        <x:v>TEA0009</x:v>
      </x:c>
      <x:c r="S6" s="22" t="str">
        <x:v>GTIN repetido em produtos distintos</x:v>
      </x:c>
      <x:c r="T6" s="22" t="str">
        <x:v>TUBO ENDOTRAQUEAL ARAMADO BALAO - CAIXA - CX/25 | CX | CONTEUDO25 | FATOR25 - MEDIX</x:v>
      </x:c>
      <x:c r="U6" s="27" t="str"/>
      <x:c r="V6" s="27" t="str"/>
    </x:row>
    <x:row r="7">
      <x:c r="A7" s="28" t="str">
        <x:f>"G-295"</x:f>
        <x:v>G-295</x:v>
      </x:c>
      <x:c r="B7" s="22" t="str">
        <x:v>TUBO ENDOTRAQUEAL ARAMADO BALAO</x:v>
      </x:c>
      <x:c r="C7" s="22" t="str">
        <x:v>ALTO</x:v>
      </x:c>
      <x:c r="D7" s="22" t="str">
        <x:v>REVISAR GTIN repetido; não consolidar automaticamente</x:v>
      </x:c>
      <x:c r="E7" s="28" t="str">
        <x:f>"TEA0002"</x:f>
        <x:v>TEA0002</x:v>
      </x:c>
      <x:c r="F7" s="22" t="str">
        <x:v>TUBO ENDOTRAQUEAL ARAMADO C/BALÃO 4.5 - CX/25 - MEDIX</x:v>
      </x:c>
      <x:c r="G7" s="22" t="str">
        <x:v>TUBO ENDOTRAQUEAL ARAMADO BALAO</x:v>
      </x:c>
      <x:c r="H7" s="22" t="str"/>
      <x:c r="I7" s="22" t="str"/>
      <x:c r="J7" s="22" t="str">
        <x:v>CX/25 | CX | CONTEUDO25 | FATOR25</x:v>
      </x:c>
      <x:c r="K7" s="22" t="str">
        <x:v>CAIXA</x:v>
      </x:c>
      <x:c r="L7" s="22" t="str">
        <x:v>MEDIX</x:v>
      </x:c>
      <x:c r="M7" s="28" t="str">
        <x:f>"GTIN: 7898913077164"</x:f>
        <x:v>GTIN: 7898913077164</x:v>
      </x:c>
      <x:c r="N7" s="28" t="str">
        <x:f>"90183929"</x:f>
        <x:v>90183929</x:v>
      </x:c>
      <x:c r="O7" s="29" t="n">
        <x:v>3.8</x:v>
      </x:c>
      <x:c r="P7" s="29" t="n">
        <x:v>14.78</x:v>
      </x:c>
      <x:c r="Q7" s="28" t="str">
        <x:f>"803"</x:f>
        <x:v>803</x:v>
      </x:c>
      <x:c r="R7" s="28" t="str">
        <x:f>"TEA0002"</x:f>
        <x:v>TEA0002</x:v>
      </x:c>
      <x:c r="S7" s="22" t="str">
        <x:v>GTIN repetido em produtos distintos</x:v>
      </x:c>
      <x:c r="T7" s="22" t="str">
        <x:v>TUBO ENDOTRAQUEAL ARAMADO BALAO - CAIXA - CX/25 | CX | CONTEUDO25 | FATOR25 - MEDIX</x:v>
      </x:c>
      <x:c r="U7" s="27" t="str"/>
      <x:c r="V7" s="27" t="str"/>
    </x:row>
    <x:row r="8">
      <x:c r="A8" s="28" t="str">
        <x:f>"G-295"</x:f>
        <x:v>G-295</x:v>
      </x:c>
      <x:c r="B8" s="22" t="str">
        <x:v>TUBO ENDOTRAQUEAL ARAMADO BALAO</x:v>
      </x:c>
      <x:c r="C8" s="22" t="str">
        <x:v>ALTO</x:v>
      </x:c>
      <x:c r="D8" s="22" t="str">
        <x:v>REVISAR GTIN repetido; não consolidar automaticamente</x:v>
      </x:c>
      <x:c r="E8" s="28" t="str">
        <x:f>"TEA0006"</x:f>
        <x:v>TEA0006</x:v>
      </x:c>
      <x:c r="F8" s="22" t="str">
        <x:v>TUBO ENDOTRAQUEAL ARAMADO C/BALÃO 5,0 - CX/25 - MEDIX</x:v>
      </x:c>
      <x:c r="G8" s="22" t="str">
        <x:v>TUBO ENDOTRAQUEAL ARAMADO BALAO</x:v>
      </x:c>
      <x:c r="H8" s="22" t="str"/>
      <x:c r="I8" s="22" t="str"/>
      <x:c r="J8" s="22" t="str">
        <x:v>CX/25 | CX | CONTEUDO25 | FATOR25</x:v>
      </x:c>
      <x:c r="K8" s="22" t="str">
        <x:v>CAIXA</x:v>
      </x:c>
      <x:c r="L8" s="22" t="str">
        <x:v>MEDIX</x:v>
      </x:c>
      <x:c r="M8" s="28" t="str">
        <x:f>"GTIN: 7898913077164"</x:f>
        <x:v>GTIN: 7898913077164</x:v>
      </x:c>
      <x:c r="N8" s="28" t="str">
        <x:f>"90183929"</x:f>
        <x:v>90183929</x:v>
      </x:c>
      <x:c r="O8" s="29" t="n">
        <x:v>3.8</x:v>
      </x:c>
      <x:c r="P8" s="29" t="n">
        <x:v>14.78</x:v>
      </x:c>
      <x:c r="Q8" s="28" t="str">
        <x:f>"804"</x:f>
        <x:v>804</x:v>
      </x:c>
      <x:c r="R8" s="28" t="str">
        <x:f>"TEA0006"</x:f>
        <x:v>TEA0006</x:v>
      </x:c>
      <x:c r="S8" s="22" t="str">
        <x:v>GTIN repetido em produtos distintos</x:v>
      </x:c>
      <x:c r="T8" s="22" t="str">
        <x:v>TUBO ENDOTRAQUEAL ARAMADO BALAO - CAIXA - CX/25 | CX | CONTEUDO25 | FATOR25 - MEDIX</x:v>
      </x:c>
      <x:c r="U8" s="27" t="str"/>
      <x:c r="V8" s="27" t="str"/>
    </x:row>
    <x:row r="9">
      <x:c r="A9" s="28" t="str">
        <x:f>"G-295"</x:f>
        <x:v>G-295</x:v>
      </x:c>
      <x:c r="B9" s="22" t="str">
        <x:v>TUBO ENDOTRAQUEAL ARAMADO BALAO</x:v>
      </x:c>
      <x:c r="C9" s="22" t="str">
        <x:v>ALTO</x:v>
      </x:c>
      <x:c r="D9" s="22" t="str">
        <x:v>REVISAR GTIN repetido; não consolidar automaticamente</x:v>
      </x:c>
      <x:c r="E9" s="28" t="str">
        <x:f>"TEA0003"</x:f>
        <x:v>TEA0003</x:v>
      </x:c>
      <x:c r="F9" s="22" t="str">
        <x:v>TUBO ENDOTRAQUEAL ARAMADO C/BALÃO 5.5 - CX/25 - MEDIX</x:v>
      </x:c>
      <x:c r="G9" s="22" t="str">
        <x:v>TUBO ENDOTRAQUEAL ARAMADO BALAO</x:v>
      </x:c>
      <x:c r="H9" s="22" t="str"/>
      <x:c r="I9" s="22" t="str"/>
      <x:c r="J9" s="22" t="str">
        <x:v>CX/25 | CX | CONTEUDO25 | FATOR25</x:v>
      </x:c>
      <x:c r="K9" s="22" t="str">
        <x:v>CAIXA</x:v>
      </x:c>
      <x:c r="L9" s="22" t="str">
        <x:v>MEDIX</x:v>
      </x:c>
      <x:c r="M9" s="28" t="str">
        <x:f>"GTIN: 7898913077164"</x:f>
        <x:v>GTIN: 7898913077164</x:v>
      </x:c>
      <x:c r="N9" s="28" t="str">
        <x:f>"90183929"</x:f>
        <x:v>90183929</x:v>
      </x:c>
      <x:c r="O9" s="29" t="n">
        <x:v>3.8</x:v>
      </x:c>
      <x:c r="P9" s="29" t="n">
        <x:v>14.78</x:v>
      </x:c>
      <x:c r="Q9" s="28" t="str">
        <x:f>"805"</x:f>
        <x:v>805</x:v>
      </x:c>
      <x:c r="R9" s="28" t="str">
        <x:f>"TEA0003"</x:f>
        <x:v>TEA0003</x:v>
      </x:c>
      <x:c r="S9" s="22" t="str">
        <x:v>GTIN repetido em produtos distintos</x:v>
      </x:c>
      <x:c r="T9" s="22" t="str">
        <x:v>TUBO ENDOTRAQUEAL ARAMADO BALAO - CAIXA - CX/25 | CX | CONTEUDO25 | FATOR25 - MEDIX</x:v>
      </x:c>
      <x:c r="U9" s="27" t="str"/>
      <x:c r="V9" s="27" t="str"/>
    </x:row>
    <x:row r="10">
      <x:c r="A10" s="28" t="str">
        <x:f>"G-295"</x:f>
        <x:v>G-295</x:v>
      </x:c>
      <x:c r="B10" s="22" t="str">
        <x:v>TUBO ENDOTRAQUEAL ARAMADO BALAO</x:v>
      </x:c>
      <x:c r="C10" s="22" t="str">
        <x:v>ALTO</x:v>
      </x:c>
      <x:c r="D10" s="22" t="str">
        <x:v>REVISAR GTIN repetido; não consolidar automaticamente</x:v>
      </x:c>
      <x:c r="E10" s="28" t="str">
        <x:f>"TEA0007"</x:f>
        <x:v>TEA0007</x:v>
      </x:c>
      <x:c r="F10" s="22" t="str">
        <x:v>TUBO ENDOTRAQUEAL ARAMADO C/BALÃO 6,0 - CX/25 - MEDIX</x:v>
      </x:c>
      <x:c r="G10" s="22" t="str">
        <x:v>TUBO ENDOTRAQUEAL ARAMADO BALAO</x:v>
      </x:c>
      <x:c r="H10" s="22" t="str"/>
      <x:c r="I10" s="22" t="str"/>
      <x:c r="J10" s="22" t="str">
        <x:v>CX/25 | CX | CONTEUDO25 | FATOR25</x:v>
      </x:c>
      <x:c r="K10" s="22" t="str">
        <x:v>CAIXA</x:v>
      </x:c>
      <x:c r="L10" s="22" t="str">
        <x:v>MEDIX</x:v>
      </x:c>
      <x:c r="M10" s="28" t="str">
        <x:f>"GTIN: 7898913077164"</x:f>
        <x:v>GTIN: 7898913077164</x:v>
      </x:c>
      <x:c r="N10" s="28" t="str">
        <x:f>"90183929"</x:f>
        <x:v>90183929</x:v>
      </x:c>
      <x:c r="O10" s="29" t="n">
        <x:v>3.8</x:v>
      </x:c>
      <x:c r="P10" s="29" t="n">
        <x:v>14.78</x:v>
      </x:c>
      <x:c r="Q10" s="28" t="str">
        <x:f>"806"</x:f>
        <x:v>806</x:v>
      </x:c>
      <x:c r="R10" s="28" t="str">
        <x:f>"TEA0007"</x:f>
        <x:v>TEA0007</x:v>
      </x:c>
      <x:c r="S10" s="22" t="str">
        <x:v>GTIN repetido em produtos distintos</x:v>
      </x:c>
      <x:c r="T10" s="22" t="str">
        <x:v>TUBO ENDOTRAQUEAL ARAMADO BALAO - CAIXA - CX/25 | CX | CONTEUDO25 | FATOR25 - MEDIX</x:v>
      </x:c>
      <x:c r="U10" s="27" t="str"/>
      <x:c r="V10" s="27" t="str"/>
    </x:row>
    <x:row r="11">
      <x:c r="A11" s="28" t="str">
        <x:f>"G-295"</x:f>
        <x:v>G-295</x:v>
      </x:c>
      <x:c r="B11" s="22" t="str">
        <x:v>TUBO ENDOTRAQUEAL ARAMADO BALAO</x:v>
      </x:c>
      <x:c r="C11" s="22" t="str">
        <x:v>ALTO</x:v>
      </x:c>
      <x:c r="D11" s="22" t="str">
        <x:v>REVISAR GTIN repetido; não consolidar automaticamente</x:v>
      </x:c>
      <x:c r="E11" s="28" t="str">
        <x:f>"TEA0004"</x:f>
        <x:v>TEA0004</x:v>
      </x:c>
      <x:c r="F11" s="22" t="str">
        <x:v>TUBO ENDOTRAQUEAL ARAMADO C/BALÃO 6.5 - CX/25 - MEDIX</x:v>
      </x:c>
      <x:c r="G11" s="22" t="str">
        <x:v>TUBO ENDOTRAQUEAL ARAMADO BALAO</x:v>
      </x:c>
      <x:c r="H11" s="22" t="str"/>
      <x:c r="I11" s="22" t="str"/>
      <x:c r="J11" s="22" t="str">
        <x:v>CX/25 | CX | CONTEUDO25 | FATOR25</x:v>
      </x:c>
      <x:c r="K11" s="22" t="str">
        <x:v>CAIXA</x:v>
      </x:c>
      <x:c r="L11" s="22" t="str">
        <x:v>MEDIX</x:v>
      </x:c>
      <x:c r="M11" s="28" t="str">
        <x:f>"GTIN: 7898913077164"</x:f>
        <x:v>GTIN: 7898913077164</x:v>
      </x:c>
      <x:c r="N11" s="28" t="str">
        <x:f>"90183929"</x:f>
        <x:v>90183929</x:v>
      </x:c>
      <x:c r="O11" s="29" t="n">
        <x:v>3.8</x:v>
      </x:c>
      <x:c r="P11" s="29" t="n">
        <x:v>14.78</x:v>
      </x:c>
      <x:c r="Q11" s="28" t="str">
        <x:f>"807"</x:f>
        <x:v>807</x:v>
      </x:c>
      <x:c r="R11" s="28" t="str">
        <x:f>"TEA0004"</x:f>
        <x:v>TEA0004</x:v>
      </x:c>
      <x:c r="S11" s="22" t="str">
        <x:v>GTIN repetido em produtos distintos</x:v>
      </x:c>
      <x:c r="T11" s="22" t="str">
        <x:v>TUBO ENDOTRAQUEAL ARAMADO BALAO - CAIXA - CX/25 | CX | CONTEUDO25 | FATOR25 - MEDIX</x:v>
      </x:c>
      <x:c r="U11" s="27" t="str"/>
      <x:c r="V11" s="27" t="str"/>
    </x:row>
    <x:row r="12">
      <x:c r="A12" s="28" t="str">
        <x:f>"G-295"</x:f>
        <x:v>G-295</x:v>
      </x:c>
      <x:c r="B12" s="22" t="str">
        <x:v>TUBO ENDOTRAQUEAL ARAMADO BALAO</x:v>
      </x:c>
      <x:c r="C12" s="22" t="str">
        <x:v>ALTO</x:v>
      </x:c>
      <x:c r="D12" s="22" t="str">
        <x:v>REVISAR GTIN repetido; não consolidar automaticamente</x:v>
      </x:c>
      <x:c r="E12" s="28" t="str">
        <x:f>"TEA0001"</x:f>
        <x:v>TEA0001</x:v>
      </x:c>
      <x:c r="F12" s="22" t="str">
        <x:v>TUBO ENDOTRAQUEAL ARAMADO C/BALÃO 8.5 - CX/10 - SOLIDOR</x:v>
      </x:c>
      <x:c r="G12" s="22" t="str">
        <x:v>TUBO ENDOTRAQUEAL ARAMADO BALAO</x:v>
      </x:c>
      <x:c r="H12" s="22" t="str"/>
      <x:c r="I12" s="22" t="str"/>
      <x:c r="J12" s="22" t="str">
        <x:v>CX/10 | CX | CONTEUDO10 | FATOR10</x:v>
      </x:c>
      <x:c r="K12" s="22" t="str">
        <x:v>CAIXA</x:v>
      </x:c>
      <x:c r="L12" s="22" t="str">
        <x:v>SOLIDOR</x:v>
      </x:c>
      <x:c r="M12" s="28" t="str">
        <x:f>"GTIN: 7898913077164"</x:f>
        <x:v>GTIN: 7898913077164</x:v>
      </x:c>
      <x:c r="N12" s="28" t="str">
        <x:f>"90183929"</x:f>
        <x:v>90183929</x:v>
      </x:c>
      <x:c r="O12" s="29" t="n">
        <x:v>9.55</x:v>
      </x:c>
      <x:c r="P12" s="29" t="n">
        <x:v>14.78</x:v>
      </x:c>
      <x:c r="Q12" s="28" t="str">
        <x:f>"808"</x:f>
        <x:v>808</x:v>
      </x:c>
      <x:c r="R12" s="28" t="str">
        <x:f>"TEA0001"</x:f>
        <x:v>TEA0001</x:v>
      </x:c>
      <x:c r="S12" s="22" t="str">
        <x:v>GTIN repetido em produtos distintos</x:v>
      </x:c>
      <x:c r="T12" s="22" t="str">
        <x:v>TUBO ENDOTRAQUEAL ARAMADO BALAO - CAIXA - CX/10 | CX | CONTEUDO10 | FATOR10 - SOLIDOR</x:v>
      </x:c>
      <x:c r="U12" s="27" t="str"/>
      <x:c r="V12" s="27" t="str"/>
    </x:row>
    <x:row r="13">
      <x:c r="A13" s="28" t="str">
        <x:f>"G-295"</x:f>
        <x:v>G-295</x:v>
      </x:c>
      <x:c r="B13" s="22" t="str">
        <x:v>TUBO ENDOTRAQUEAL ARAMADO BALAO</x:v>
      </x:c>
      <x:c r="C13" s="22" t="str">
        <x:v>ALTO</x:v>
      </x:c>
      <x:c r="D13" s="22" t="str">
        <x:v>REVISAR GTIN repetido; não consolidar automaticamente</x:v>
      </x:c>
      <x:c r="E13" s="28" t="str">
        <x:f>"TEA0005"</x:f>
        <x:v>TEA0005</x:v>
      </x:c>
      <x:c r="F13" s="22" t="str">
        <x:v>TUBO ENDOTRAQUEAL ARAMADO C/BALÃO 8.5 - CX/25 - MEDIX</x:v>
      </x:c>
      <x:c r="G13" s="22" t="str">
        <x:v>TUBO ENDOTRAQUEAL ARAMADO BALAO</x:v>
      </x:c>
      <x:c r="H13" s="22" t="str"/>
      <x:c r="I13" s="22" t="str"/>
      <x:c r="J13" s="22" t="str">
        <x:v>CX/25 | CX | CONTEUDO25 | FATOR25</x:v>
      </x:c>
      <x:c r="K13" s="22" t="str">
        <x:v>CAIXA</x:v>
      </x:c>
      <x:c r="L13" s="22" t="str">
        <x:v>MEDIX</x:v>
      </x:c>
      <x:c r="M13" s="28" t="str">
        <x:f>"GTIN: 7898913077164"</x:f>
        <x:v>GTIN: 7898913077164</x:v>
      </x:c>
      <x:c r="N13" s="28" t="str">
        <x:f>"90183929"</x:f>
        <x:v>90183929</x:v>
      </x:c>
      <x:c r="O13" s="29" t="n">
        <x:v>3.8</x:v>
      </x:c>
      <x:c r="P13" s="29" t="n">
        <x:v>14.78</x:v>
      </x:c>
      <x:c r="Q13" s="28" t="str">
        <x:f>"809"</x:f>
        <x:v>809</x:v>
      </x:c>
      <x:c r="R13" s="28" t="str">
        <x:f>"TEA0005"</x:f>
        <x:v>TEA0005</x:v>
      </x:c>
      <x:c r="S13" s="22" t="str">
        <x:v>GTIN repetido em produtos distintos</x:v>
      </x:c>
      <x:c r="T13" s="22" t="str">
        <x:v>TUBO ENDOTRAQUEAL ARAMADO BALAO - CAIXA - CX/25 | CX | CONTEUDO25 | FATOR25 - MEDIX</x:v>
      </x:c>
      <x:c r="U13" s="27" t="str"/>
      <x:c r="V13" s="27" t="str"/>
    </x:row>
    <x:row r="14">
      <x:c r="A14" s="28" t="str">
        <x:f>"G-295"</x:f>
        <x:v>G-295</x:v>
      </x:c>
      <x:c r="B14" s="22" t="str">
        <x:v>TUBO ENDOTRAQUEAL ARAMADO BALAO</x:v>
      </x:c>
      <x:c r="C14" s="22" t="str">
        <x:v>ALTO</x:v>
      </x:c>
      <x:c r="D14" s="22" t="str">
        <x:v>REVISAR GTIN repetido; não consolidar automaticamente</x:v>
      </x:c>
      <x:c r="E14" s="28" t="str">
        <x:f>"TEA0008"</x:f>
        <x:v>TEA0008</x:v>
      </x:c>
      <x:c r="F14" s="22" t="str">
        <x:v>TUBO ENDOTRAQUEAL ARAMADO C/BALÃO 9,0 - CX/25 - MEDIX</x:v>
      </x:c>
      <x:c r="G14" s="22" t="str">
        <x:v>TUBO ENDOTRAQUEAL ARAMADO BALAO</x:v>
      </x:c>
      <x:c r="H14" s="22" t="str"/>
      <x:c r="I14" s="22" t="str"/>
      <x:c r="J14" s="22" t="str">
        <x:v>CX/25 | CX | CONTEUDO25 | FATOR25</x:v>
      </x:c>
      <x:c r="K14" s="22" t="str">
        <x:v>CAIXA</x:v>
      </x:c>
      <x:c r="L14" s="22" t="str">
        <x:v>MEDIX</x:v>
      </x:c>
      <x:c r="M14" s="28" t="str">
        <x:f>"GTIN: 7898913077164"</x:f>
        <x:v>GTIN: 7898913077164</x:v>
      </x:c>
      <x:c r="N14" s="28" t="str">
        <x:f>"90183929"</x:f>
        <x:v>90183929</x:v>
      </x:c>
      <x:c r="O14" s="29" t="n">
        <x:v>3.8</x:v>
      </x:c>
      <x:c r="P14" s="29" t="n">
        <x:v>14.78</x:v>
      </x:c>
      <x:c r="Q14" s="28" t="str">
        <x:f>"810"</x:f>
        <x:v>810</x:v>
      </x:c>
      <x:c r="R14" s="28" t="str">
        <x:f>"TEA0008"</x:f>
        <x:v>TEA0008</x:v>
      </x:c>
      <x:c r="S14" s="22" t="str">
        <x:v>GTIN repetido em produtos distintos</x:v>
      </x:c>
      <x:c r="T14" s="22" t="str">
        <x:v>TUBO ENDOTRAQUEAL ARAMADO BALAO - CAIXA - CX/25 | CX | CONTEUDO25 | FATOR25 - MEDIX</x:v>
      </x:c>
      <x:c r="U14" s="27" t="str"/>
      <x:c r="V14" s="27" t="str"/>
    </x:row>
    <x:row r="15">
      <x:c r="A15" s="28" t="str">
        <x:f>"G-051"</x:f>
        <x:v>G-051</x:v>
      </x:c>
      <x:c r="B15" s="22" t="str">
        <x:v>CATETER JELCO</x:v>
      </x:c>
      <x:c r="C15" s="22" t="str">
        <x:v>ALTO</x:v>
      </x:c>
      <x:c r="D15" s="22" t="str">
        <x:v>REVISAR GTIN repetido; não consolidar automaticamente</x:v>
      </x:c>
      <x:c r="E15" s="28" t="str">
        <x:f>"CP10001"</x:f>
        <x:v>CP10001</x:v>
      </x:c>
      <x:c r="F15" s="22" t="str">
        <x:v>CATETER JELCO 14G - CX/100 - DESCARPACK</x:v>
      </x:c>
      <x:c r="G15" s="22" t="str">
        <x:v>CATETER JELCO</x:v>
      </x:c>
      <x:c r="H15" s="22" t="str">
        <x:v>14G</x:v>
      </x:c>
      <x:c r="I15" s="22" t="str">
        <x:v>14G</x:v>
      </x:c>
      <x:c r="J15" s="22" t="str">
        <x:v>CX/100 | CX | CONTEUDO100 | FATOR100</x:v>
      </x:c>
      <x:c r="K15" s="22" t="str">
        <x:v>CAIXA</x:v>
      </x:c>
      <x:c r="L15" s="22" t="str">
        <x:v>DESCARPACK</x:v>
      </x:c>
      <x:c r="M15" s="28" t="str">
        <x:f>"GTIN: 7898283816837"</x:f>
        <x:v>GTIN: 7898283816837</x:v>
      </x:c>
      <x:c r="N15" s="28" t="str">
        <x:f>"90183921"</x:f>
        <x:v>90183921</x:v>
      </x:c>
      <x:c r="O15" s="29" t="n">
        <x:v>0.35</x:v>
      </x:c>
      <x:c r="P15" s="29" t="n">
        <x:v>0.52</x:v>
      </x:c>
      <x:c r="Q15" s="28" t="str">
        <x:f>"105"</x:f>
        <x:v>105</x:v>
      </x:c>
      <x:c r="R15" s="28" t="str">
        <x:f>"CP10001"</x:f>
        <x:v>CP10001</x:v>
      </x:c>
      <x:c r="S15" s="22" t="str">
        <x:v>GTIN repetido em produtos distintos</x:v>
      </x:c>
      <x:c r="T15" s="22" t="str">
        <x:v>CATETER JELCO - 14G - CAIXA - CX/100 | CX | CONTEUDO100 | FATOR100 - DESCARPACK</x:v>
      </x:c>
      <x:c r="U15" s="27" t="str"/>
      <x:c r="V15" s="27" t="str"/>
    </x:row>
    <x:row r="16">
      <x:c r="A16" s="28" t="str">
        <x:f>"G-051"</x:f>
        <x:v>G-051</x:v>
      </x:c>
      <x:c r="B16" s="22" t="str">
        <x:v>CATETER JELCO</x:v>
      </x:c>
      <x:c r="C16" s="22" t="str">
        <x:v>ALTO</x:v>
      </x:c>
      <x:c r="D16" s="22" t="str">
        <x:v>REVISAR GTIN repetido; não consolidar automaticamente</x:v>
      </x:c>
      <x:c r="E16" s="28" t="str">
        <x:f>"ED20002"</x:f>
        <x:v>ED20002</x:v>
      </x:c>
      <x:c r="F16" s="22" t="str">
        <x:v>CATETER JELCO 16G - CX/100 - DESCARPACK</x:v>
      </x:c>
      <x:c r="G16" s="22" t="str">
        <x:v>CATETER JELCO</x:v>
      </x:c>
      <x:c r="H16" s="22" t="str">
        <x:v>16G</x:v>
      </x:c>
      <x:c r="I16" s="22" t="str">
        <x:v>16G</x:v>
      </x:c>
      <x:c r="J16" s="22" t="str">
        <x:v>CX/100 | CX | CONTEUDO100 | FATOR100</x:v>
      </x:c>
      <x:c r="K16" s="22" t="str">
        <x:v>CAIXA</x:v>
      </x:c>
      <x:c r="L16" s="22" t="str">
        <x:v>DESCARPACK</x:v>
      </x:c>
      <x:c r="M16" s="28" t="str">
        <x:f>"GTIN: 7898283816844"</x:f>
        <x:v>GTIN: 7898283816844</x:v>
      </x:c>
      <x:c r="N16" s="28" t="str">
        <x:f>"90183921"</x:f>
        <x:v>90183921</x:v>
      </x:c>
      <x:c r="O16" s="29" t="n">
        <x:v>0.35</x:v>
      </x:c>
      <x:c r="P16" s="29" t="n">
        <x:v>0.86</x:v>
      </x:c>
      <x:c r="Q16" s="28" t="str">
        <x:f>"106"</x:f>
        <x:v>106</x:v>
      </x:c>
      <x:c r="R16" s="28" t="str">
        <x:f>"ED20002"</x:f>
        <x:v>ED20002</x:v>
      </x:c>
      <x:c r="S16" s="22" t="str">
        <x:v>GTIN repetido em produtos distintos</x:v>
      </x:c>
      <x:c r="T16" s="22" t="str">
        <x:v>CATETER JELCO - 16G - CAIXA - CX/100 | CX | CONTEUDO100 | FATOR100 - DESCARPACK</x:v>
      </x:c>
      <x:c r="U16" s="27" t="str"/>
      <x:c r="V16" s="27" t="str"/>
    </x:row>
    <x:row r="17">
      <x:c r="A17" s="28" t="str">
        <x:f>"G-051"</x:f>
        <x:v>G-051</x:v>
      </x:c>
      <x:c r="B17" s="22" t="str">
        <x:v>CATETER JELCO</x:v>
      </x:c>
      <x:c r="C17" s="22" t="str">
        <x:v>ALTO</x:v>
      </x:c>
      <x:c r="D17" s="22" t="str">
        <x:v>REVISAR GTIN repetido; não consolidar automaticamente</x:v>
      </x:c>
      <x:c r="E17" s="28" t="str">
        <x:f>"CJ10001"</x:f>
        <x:v>CJ10001</x:v>
      </x:c>
      <x:c r="F17" s="22" t="str">
        <x:v>CATETER JELCO 16G - CX/100 - SEVEN CARE</x:v>
      </x:c>
      <x:c r="G17" s="22" t="str">
        <x:v>CATETER JELCO</x:v>
      </x:c>
      <x:c r="H17" s="22" t="str">
        <x:v>16G</x:v>
      </x:c>
      <x:c r="I17" s="22" t="str">
        <x:v>16G</x:v>
      </x:c>
      <x:c r="J17" s="22" t="str">
        <x:v>CX/100 | CX | CONTEUDO100 | FATOR100</x:v>
      </x:c>
      <x:c r="K17" s="22" t="str">
        <x:v>CAIXA</x:v>
      </x:c>
      <x:c r="L17" s="22" t="str">
        <x:v>SEVEN CARE</x:v>
      </x:c>
      <x:c r="M17" s="28" t="str">
        <x:f>"GTIN: 7898283816844"</x:f>
        <x:v>GTIN: 7898283816844</x:v>
      </x:c>
      <x:c r="N17" s="28" t="str">
        <x:f>"90183921"</x:f>
        <x:v>90183921</x:v>
      </x:c>
      <x:c r="O17" s="29" t="n">
        <x:v>0.35</x:v>
      </x:c>
      <x:c r="P17" s="29" t="n">
        <x:v>0.52</x:v>
      </x:c>
      <x:c r="Q17" s="28" t="str">
        <x:f>"107"</x:f>
        <x:v>107</x:v>
      </x:c>
      <x:c r="R17" s="28" t="str">
        <x:f>"CJ10001"</x:f>
        <x:v>CJ10001</x:v>
      </x:c>
      <x:c r="S17" s="22" t="str">
        <x:v>GTIN repetido em produtos distintos</x:v>
      </x:c>
      <x:c r="T17" s="22" t="str">
        <x:v>CATETER JELCO - 16G - CAIXA - CX/100 | CX | CONTEUDO100 | FATOR100 - SEVEN CARE</x:v>
      </x:c>
      <x:c r="U17" s="27" t="str"/>
      <x:c r="V17" s="27" t="str"/>
    </x:row>
    <x:row r="18">
      <x:c r="A18" s="28" t="str">
        <x:f>"G-051"</x:f>
        <x:v>G-051</x:v>
      </x:c>
      <x:c r="B18" s="22" t="str">
        <x:v>CATETER JELCO</x:v>
      </x:c>
      <x:c r="C18" s="22" t="str">
        <x:v>ALTO</x:v>
      </x:c>
      <x:c r="D18" s="22" t="str">
        <x:v>REVISAR GTIN repetido; não consolidar automaticamente</x:v>
      </x:c>
      <x:c r="E18" s="28" t="str">
        <x:f>"CJ10003"</x:f>
        <x:v>CJ10003</x:v>
      </x:c>
      <x:c r="F18" s="22" t="str">
        <x:v>CATETER JELCO 18G - CX/100 - SEVEN CARE</x:v>
      </x:c>
      <x:c r="G18" s="22" t="str">
        <x:v>CATETER JELCO</x:v>
      </x:c>
      <x:c r="H18" s="22" t="str">
        <x:v>18G</x:v>
      </x:c>
      <x:c r="I18" s="22" t="str">
        <x:v>18G</x:v>
      </x:c>
      <x:c r="J18" s="22" t="str">
        <x:v>CX/100 | CX | CONTEUDO100 | FATOR100</x:v>
      </x:c>
      <x:c r="K18" s="22" t="str">
        <x:v>CAIXA</x:v>
      </x:c>
      <x:c r="L18" s="22" t="str">
        <x:v>SEVEN CARE</x:v>
      </x:c>
      <x:c r="M18" s="28" t="str">
        <x:f>"GTIN: 7898283816837"</x:f>
        <x:v>GTIN: 7898283816837</x:v>
      </x:c>
      <x:c r="N18" s="28" t="str">
        <x:f>"90183921"</x:f>
        <x:v>90183921</x:v>
      </x:c>
      <x:c r="O18" s="29" t="n">
        <x:v>0.35</x:v>
      </x:c>
      <x:c r="P18" s="29" t="n">
        <x:v>0.52</x:v>
      </x:c>
      <x:c r="Q18" s="28" t="str">
        <x:f>"108"</x:f>
        <x:v>108</x:v>
      </x:c>
      <x:c r="R18" s="28" t="str">
        <x:f>"CJ10003"</x:f>
        <x:v>CJ10003</x:v>
      </x:c>
      <x:c r="S18" s="22" t="str">
        <x:v>GTIN repetido em produtos distintos</x:v>
      </x:c>
      <x:c r="T18" s="22" t="str">
        <x:v>CATETER JELCO - 18G - CAIXA - CX/100 | CX | CONTEUDO100 | FATOR100 - SEVEN CARE</x:v>
      </x:c>
      <x:c r="U18" s="27" t="str"/>
      <x:c r="V18" s="27" t="str"/>
    </x:row>
    <x:row r="19">
      <x:c r="A19" s="28" t="str">
        <x:f>"G-051"</x:f>
        <x:v>G-051</x:v>
      </x:c>
      <x:c r="B19" s="22" t="str">
        <x:v>CATETER JELCO</x:v>
      </x:c>
      <x:c r="C19" s="22" t="str">
        <x:v>ALTO</x:v>
      </x:c>
      <x:c r="D19" s="22" t="str">
        <x:v>REVISAR GTIN repetido; não consolidar automaticamente</x:v>
      </x:c>
      <x:c r="E19" s="28" t="str">
        <x:f>"CJ20002"</x:f>
        <x:v>CJ20002</x:v>
      </x:c>
      <x:c r="F19" s="22" t="str">
        <x:v>CATETER JELCO 20G - DESCARPACK</x:v>
      </x:c>
      <x:c r="G19" s="22" t="str">
        <x:v>CATETER JELCO</x:v>
      </x:c>
      <x:c r="H19" s="22" t="str">
        <x:v>20G</x:v>
      </x:c>
      <x:c r="I19" s="22" t="str">
        <x:v>20G</x:v>
      </x:c>
      <x:c r="J19" s="22" t="str">
        <x:v>CX | CONTEUDO100 | FATOR100</x:v>
      </x:c>
      <x:c r="K19" s="22" t="str">
        <x:v>CAIXA</x:v>
      </x:c>
      <x:c r="L19" s="22" t="str">
        <x:v>DESCARPACK</x:v>
      </x:c>
      <x:c r="M19" s="28" t="str">
        <x:f>"GTIN: 7898283816844"</x:f>
        <x:v>GTIN: 7898283816844</x:v>
      </x:c>
      <x:c r="N19" s="28" t="str">
        <x:f>"90183921"</x:f>
        <x:v>90183921</x:v>
      </x:c>
      <x:c r="O19" s="29" t="n">
        <x:v>0.35</x:v>
      </x:c>
      <x:c r="P19" s="29" t="n">
        <x:v>0.86</x:v>
      </x:c>
      <x:c r="Q19" s="28" t="str">
        <x:f>"109"</x:f>
        <x:v>109</x:v>
      </x:c>
      <x:c r="R19" s="28" t="str">
        <x:f>"CJ20002"</x:f>
        <x:v>CJ20002</x:v>
      </x:c>
      <x:c r="S19" s="22" t="str">
        <x:v>GTIN repetido em produtos distintos</x:v>
      </x:c>
      <x:c r="T19" s="22" t="str">
        <x:v>CATETER JELCO - 20G - CAIXA - CX | CONTEUDO100 | FATOR100 - DESCARPACK</x:v>
      </x:c>
      <x:c r="U19" s="27" t="str"/>
      <x:c r="V19" s="27" t="str"/>
    </x:row>
    <x:row r="20">
      <x:c r="A20" s="28" t="str">
        <x:f>"G-051"</x:f>
        <x:v>G-051</x:v>
      </x:c>
      <x:c r="B20" s="22" t="str">
        <x:v>CATETER JELCO</x:v>
      </x:c>
      <x:c r="C20" s="22" t="str">
        <x:v>ALTO</x:v>
      </x:c>
      <x:c r="D20" s="22" t="str">
        <x:v>REVISAR GTIN repetido; não consolidar automaticamente</x:v>
      </x:c>
      <x:c r="E20" s="28" t="str">
        <x:f>"CJ20001"</x:f>
        <x:v>CJ20001</x:v>
      </x:c>
      <x:c r="F20" s="22" t="str">
        <x:v>CATETER JELCO 20G - POLYMED</x:v>
      </x:c>
      <x:c r="G20" s="22" t="str">
        <x:v>CATETER JELCO</x:v>
      </x:c>
      <x:c r="H20" s="22" t="str">
        <x:v>20G</x:v>
      </x:c>
      <x:c r="I20" s="22" t="str">
        <x:v>20G</x:v>
      </x:c>
      <x:c r="J20" s="22" t="str">
        <x:v>CX | CONTEUDO100 | FATOR100</x:v>
      </x:c>
      <x:c r="K20" s="22" t="str">
        <x:v>CAIXA</x:v>
      </x:c>
      <x:c r="L20" s="22" t="str">
        <x:v>POLYMED</x:v>
      </x:c>
      <x:c r="M20" s="28" t="str">
        <x:f>"GTIN: 7898283816844"</x:f>
        <x:v>GTIN: 7898283816844</x:v>
      </x:c>
      <x:c r="N20" s="28" t="str">
        <x:f>"90183921"</x:f>
        <x:v>90183921</x:v>
      </x:c>
      <x:c r="O20" s="29" t="n">
        <x:v>0.35</x:v>
      </x:c>
      <x:c r="P20" s="29" t="n">
        <x:v>0.86</x:v>
      </x:c>
      <x:c r="Q20" s="28" t="str">
        <x:f>"110"</x:f>
        <x:v>110</x:v>
      </x:c>
      <x:c r="R20" s="28" t="str">
        <x:f>"CJ20001"</x:f>
        <x:v>CJ20001</x:v>
      </x:c>
      <x:c r="S20" s="22" t="str">
        <x:v>GTIN repetido em produtos distintos</x:v>
      </x:c>
      <x:c r="T20" s="22" t="str">
        <x:v>CATETER JELCO - 20G - CAIXA - CX | CONTEUDO100 | FATOR100 - POLYMED</x:v>
      </x:c>
      <x:c r="U20" s="27" t="str"/>
      <x:c r="V20" s="27" t="str"/>
    </x:row>
    <x:row r="21">
      <x:c r="A21" s="28" t="str">
        <x:f>"G-051"</x:f>
        <x:v>G-051</x:v>
      </x:c>
      <x:c r="B21" s="22" t="str">
        <x:v>CATETER JELCO</x:v>
      </x:c>
      <x:c r="C21" s="22" t="str">
        <x:v>ALTO</x:v>
      </x:c>
      <x:c r="D21" s="22" t="str">
        <x:v>REVISAR GTIN repetido; não consolidar automaticamente</x:v>
      </x:c>
      <x:c r="E21" s="28" t="str">
        <x:f>"CJ10002"</x:f>
        <x:v>CJ10002</x:v>
      </x:c>
      <x:c r="F21" s="22" t="str">
        <x:v>CATETER JELCO 22G - CX/100 - DESCARPACK</x:v>
      </x:c>
      <x:c r="G21" s="22" t="str">
        <x:v>CATETER JELCO</x:v>
      </x:c>
      <x:c r="H21" s="22" t="str">
        <x:v>22G</x:v>
      </x:c>
      <x:c r="I21" s="22" t="str">
        <x:v>22G</x:v>
      </x:c>
      <x:c r="J21" s="22" t="str">
        <x:v>CX/100 | CX | CONTEUDO100 | FATOR100</x:v>
      </x:c>
      <x:c r="K21" s="22" t="str">
        <x:v>CAIXA</x:v>
      </x:c>
      <x:c r="L21" s="22" t="str">
        <x:v>DESCARPACK</x:v>
      </x:c>
      <x:c r="M21" s="28" t="str">
        <x:f>"GTIN: 7898283816844"</x:f>
        <x:v>GTIN: 7898283816844</x:v>
      </x:c>
      <x:c r="N21" s="28" t="str">
        <x:f>"90183921"</x:f>
        <x:v>90183921</x:v>
      </x:c>
      <x:c r="O21" s="29" t="n">
        <x:v>0.35</x:v>
      </x:c>
      <x:c r="P21" s="29" t="n">
        <x:v>0.86</x:v>
      </x:c>
      <x:c r="Q21" s="28" t="str">
        <x:f>"111"</x:f>
        <x:v>111</x:v>
      </x:c>
      <x:c r="R21" s="28" t="str">
        <x:f>"CJ10002"</x:f>
        <x:v>CJ10002</x:v>
      </x:c>
      <x:c r="S21" s="22" t="str">
        <x:v>GTIN repetido em produtos distintos</x:v>
      </x:c>
      <x:c r="T21" s="22" t="str">
        <x:v>CATETER JELCO - 22G - CAIXA - CX/100 | CX | CONTEUDO100 | FATOR100 - DESCARPACK</x:v>
      </x:c>
      <x:c r="U21" s="27" t="str"/>
      <x:c r="V21" s="27" t="str"/>
    </x:row>
    <x:row r="22">
      <x:c r="A22" s="28" t="str">
        <x:f>"G-051"</x:f>
        <x:v>G-051</x:v>
      </x:c>
      <x:c r="B22" s="22" t="str">
        <x:v>CATETER JELCO</x:v>
      </x:c>
      <x:c r="C22" s="22" t="str">
        <x:v>ALTO</x:v>
      </x:c>
      <x:c r="D22" s="22" t="str">
        <x:v>REVISAR GTIN repetido; não consolidar automaticamente</x:v>
      </x:c>
      <x:c r="E22" s="28" t="str">
        <x:f>"CJ20003"</x:f>
        <x:v>CJ20003</x:v>
      </x:c>
      <x:c r="F22" s="22" t="str">
        <x:v>CATETER JELCO 24G - CX/100 - DESCARPACK</x:v>
      </x:c>
      <x:c r="G22" s="22" t="str">
        <x:v>CATETER JELCO</x:v>
      </x:c>
      <x:c r="H22" s="22" t="str">
        <x:v>24G</x:v>
      </x:c>
      <x:c r="I22" s="22" t="str">
        <x:v>24G</x:v>
      </x:c>
      <x:c r="J22" s="22" t="str">
        <x:v>CX/100 | CX | CONTEUDO100 | FATOR100</x:v>
      </x:c>
      <x:c r="K22" s="22" t="str">
        <x:v>CAIXA</x:v>
      </x:c>
      <x:c r="L22" s="22" t="str">
        <x:v>DESCARPACK</x:v>
      </x:c>
      <x:c r="M22" s="28" t="str">
        <x:f>"GTIN: 7898283816844"</x:f>
        <x:v>GTIN: 7898283816844</x:v>
      </x:c>
      <x:c r="N22" s="28" t="str">
        <x:f>"90183921"</x:f>
        <x:v>90183921</x:v>
      </x:c>
      <x:c r="O22" s="29" t="n">
        <x:v>0.35</x:v>
      </x:c>
      <x:c r="P22" s="29" t="n">
        <x:v>0.86</x:v>
      </x:c>
      <x:c r="Q22" s="28" t="str">
        <x:f>"112"</x:f>
        <x:v>112</x:v>
      </x:c>
      <x:c r="R22" s="28" t="str">
        <x:f>"CJ20003"</x:f>
        <x:v>CJ20003</x:v>
      </x:c>
      <x:c r="S22" s="22" t="str">
        <x:v>GTIN repetido em produtos distintos</x:v>
      </x:c>
      <x:c r="T22" s="22" t="str">
        <x:v>CATETER JELCO - 24G - CAIXA - CX/100 | CX | CONTEUDO100 | FATOR100 - DESCARPACK</x:v>
      </x:c>
      <x:c r="U22" s="27" t="str"/>
      <x:c r="V22" s="27" t="str"/>
    </x:row>
    <x:row r="23">
      <x:c r="A23" s="28" t="str">
        <x:f>"G-080"</x:f>
        <x:v>G-080</x:v>
      </x:c>
      <x:c r="B23" s="22" t="str">
        <x:v>CLORETO SODIO</x:v>
      </x:c>
      <x:c r="C23" s="22" t="str">
        <x:v>ALTO</x:v>
      </x:c>
      <x:c r="D23" s="22" t="str">
        <x:v>REVISAR GTIN repetido; não consolidar automaticamente</x:v>
      </x:c>
      <x:c r="E23" s="28" t="str">
        <x:f>"CS00013"</x:f>
        <x:v>CS00013</x:v>
      </x:c>
      <x:c r="F23" s="22" t="str">
        <x:v>CLORETO DE SODIO 0,9% 1000ML - BASAL</x:v>
      </x:c>
      <x:c r="G23" s="22" t="str">
        <x:v>CLORETO SODIO %</x:v>
      </x:c>
      <x:c r="H23" s="22" t="str">
        <x:v>1000ML</x:v>
      </x:c>
      <x:c r="I23" s="22" t="str"/>
      <x:c r="J23" s="22" t="str">
        <x:v>UN</x:v>
      </x:c>
      <x:c r="K23" s="22" t="str">
        <x:v>UNIDADE</x:v>
      </x:c>
      <x:c r="L23" s="22" t="str">
        <x:v>BASAL</x:v>
      </x:c>
      <x:c r="M23" s="28" t="str"/>
      <x:c r="N23" s="28" t="str">
        <x:f>"28470000"</x:f>
        <x:v>28470000</x:v>
      </x:c>
      <x:c r="O23" s="29" t="n">
        <x:v>3.83</x:v>
      </x:c>
      <x:c r="P23" s="29" t="n">
        <x:v>5.74</x:v>
      </x:c>
      <x:c r="Q23" s="28" t="str">
        <x:f>"197 | 198"</x:f>
        <x:v>197 | 198</x:v>
      </x:c>
      <x:c r="R23" s="28" t="str">
        <x:f>"CS00013 | CS00014"</x:f>
        <x:v>CS00013 | CS00014</x:v>
      </x:c>
      <x:c r="S23" s="22" t="str">
        <x:v>varios codigos legados consolidados em um produto; GTIN ausente ou invalido</x:v>
      </x:c>
      <x:c r="T23" s="22" t="str">
        <x:v>CLORETO SODIO % - 1000ML - UNIDADE - UN - BASAL</x:v>
      </x:c>
      <x:c r="U23" s="27" t="str"/>
      <x:c r="V23" s="27" t="str"/>
    </x:row>
    <x:row r="24">
      <x:c r="A24" s="28" t="str">
        <x:f>"G-080"</x:f>
        <x:v>G-080</x:v>
      </x:c>
      <x:c r="B24" s="22" t="str">
        <x:v>CLORETO SODIO</x:v>
      </x:c>
      <x:c r="C24" s="22" t="str">
        <x:v>ALTO</x:v>
      </x:c>
      <x:c r="D24" s="22" t="str">
        <x:v>REVISAR GTIN repetido; não consolidar automaticamente</x:v>
      </x:c>
      <x:c r="E24" s="28" t="str">
        <x:f>"CS00005"</x:f>
        <x:v>CS00005</x:v>
      </x:c>
      <x:c r="F24" s="22" t="str">
        <x:v>CLORETO DE SODIO 0,9% 100ML CX/50 - FRESENIUS</x:v>
      </x:c>
      <x:c r="G24" s="22" t="str">
        <x:v>CLORETO SODIO %</x:v>
      </x:c>
      <x:c r="H24" s="22" t="str">
        <x:v>100ML</x:v>
      </x:c>
      <x:c r="I24" s="22" t="str"/>
      <x:c r="J24" s="22" t="str">
        <x:v>CX/50 | CX | CONTEUDO50 | FATOR50</x:v>
      </x:c>
      <x:c r="K24" s="22" t="str">
        <x:v>CAIXA</x:v>
      </x:c>
      <x:c r="L24" s="22" t="str">
        <x:v>FRESENIUS</x:v>
      </x:c>
      <x:c r="M24" s="28" t="str"/>
      <x:c r="N24" s="28" t="str">
        <x:f>"28470000"</x:f>
        <x:v>28470000</x:v>
      </x:c>
      <x:c r="O24" s="29" t="n">
        <x:v>3.83</x:v>
      </x:c>
      <x:c r="P24" s="29" t="n">
        <x:v>5.74</x:v>
      </x:c>
      <x:c r="Q24" s="28" t="str">
        <x:f>"199"</x:f>
        <x:v>199</x:v>
      </x:c>
      <x:c r="R24" s="28" t="str">
        <x:f>"CS00005"</x:f>
        <x:v>CS00005</x:v>
      </x:c>
      <x:c r="S24" s="22" t="str">
        <x:v>GTIN ausente ou invalido</x:v>
      </x:c>
      <x:c r="T24" s="22" t="str">
        <x:v>CLORETO SODIO % - 100ML - CAIXA - CX/50 | CX | CONTEUDO50 | FATOR50 - FRESENIUS</x:v>
      </x:c>
      <x:c r="U24" s="27" t="str"/>
      <x:c r="V24" s="27" t="str"/>
    </x:row>
    <x:row r="25">
      <x:c r="A25" s="28" t="str">
        <x:f>"G-080"</x:f>
        <x:v>G-080</x:v>
      </x:c>
      <x:c r="B25" s="22" t="str">
        <x:v>CLORETO SODIO</x:v>
      </x:c>
      <x:c r="C25" s="22" t="str">
        <x:v>ALTO</x:v>
      </x:c>
      <x:c r="D25" s="22" t="str">
        <x:v>REVISAR GTIN repetido; não consolidar automaticamente</x:v>
      </x:c>
      <x:c r="E25" s="28" t="str">
        <x:f>"CS00022"</x:f>
        <x:v>CS00022</x:v>
      </x:c>
      <x:c r="F25" s="22" t="str">
        <x:v>CLORETO DE SODIO 0,9% 100ML CX/80 - FRESENIUS</x:v>
      </x:c>
      <x:c r="G25" s="22" t="str">
        <x:v>CLORETO SODIO %</x:v>
      </x:c>
      <x:c r="H25" s="22" t="str">
        <x:v>100ML</x:v>
      </x:c>
      <x:c r="I25" s="22" t="str"/>
      <x:c r="J25" s="22" t="str">
        <x:v>CX/80 | CX | CONTEUDO80 | FATOR80</x:v>
      </x:c>
      <x:c r="K25" s="22" t="str">
        <x:v>CAIXA</x:v>
      </x:c>
      <x:c r="L25" s="22" t="str">
        <x:v>FRESENIUS</x:v>
      </x:c>
      <x:c r="M25" s="28" t="str">
        <x:f>"GTIN: 7898166040342"</x:f>
        <x:v>GTIN: 7898166040342</x:v>
      </x:c>
      <x:c r="N25" s="28" t="str">
        <x:f>"28470000"</x:f>
        <x:v>28470000</x:v>
      </x:c>
      <x:c r="O25" s="29" t="n">
        <x:v>3.83</x:v>
      </x:c>
      <x:c r="P25" s="29" t="n">
        <x:v>5.74</x:v>
      </x:c>
      <x:c r="Q25" s="28" t="str">
        <x:f>"200 | 201 | 202 | 203"</x:f>
        <x:v>200 | 201 | 202 | 203</x:v>
      </x:c>
      <x:c r="R25" s="28" t="str">
        <x:f>"CS00022 | CS00021 | CS00020 | CS00011"</x:f>
        <x:v>CS00022 | CS00021 | CS00020 | CS00011</x:v>
      </x:c>
      <x:c r="S25" s="22" t="str">
        <x:v>varios codigos legados consolidados em um produto</x:v>
      </x:c>
      <x:c r="T25" s="22" t="str">
        <x:v>CLORETO SODIO % - 100ML - CAIXA - CX/80 | CX | CONTEUDO80 | FATOR80 - FRESENIUS</x:v>
      </x:c>
      <x:c r="U25" s="27" t="str"/>
      <x:c r="V25" s="27" t="str"/>
    </x:row>
    <x:row r="26">
      <x:c r="A26" s="28" t="str">
        <x:f>"G-080"</x:f>
        <x:v>G-080</x:v>
      </x:c>
      <x:c r="B26" s="22" t="str">
        <x:v>CLORETO SODIO</x:v>
      </x:c>
      <x:c r="C26" s="22" t="str">
        <x:v>ALTO</x:v>
      </x:c>
      <x:c r="D26" s="22" t="str">
        <x:v>REVISAR GTIN repetido; não consolidar automaticamente</x:v>
      </x:c>
      <x:c r="E26" s="28" t="str">
        <x:f>"CS00002"</x:f>
        <x:v>CS00002</x:v>
      </x:c>
      <x:c r="F26" s="22" t="str">
        <x:v>CLORETO DE SODIO 0,9% 100ML FR - FARMARIN</x:v>
      </x:c>
      <x:c r="G26" s="22" t="str">
        <x:v>CLORETO SODIO %</x:v>
      </x:c>
      <x:c r="H26" s="22" t="str">
        <x:v>100ML</x:v>
      </x:c>
      <x:c r="I26" s="22" t="str"/>
      <x:c r="J26" s="22" t="str">
        <x:v>FR | CX | CONTEUDO16 | FATOR16</x:v>
      </x:c>
      <x:c r="K26" s="22" t="str">
        <x:v>CAIXA</x:v>
      </x:c>
      <x:c r="L26" s="22" t="str">
        <x:v>FARMARIN</x:v>
      </x:c>
      <x:c r="M26" s="28" t="str">
        <x:f>"GTIN: 7898179363896"</x:f>
        <x:v>GTIN: 7898179363896</x:v>
      </x:c>
      <x:c r="N26" s="28" t="str">
        <x:f>"28470000"</x:f>
        <x:v>28470000</x:v>
      </x:c>
      <x:c r="O26" s="29" t="n">
        <x:v>3.9</x:v>
      </x:c>
      <x:c r="P26" s="29" t="n">
        <x:v>5.85</x:v>
      </x:c>
      <x:c r="Q26" s="28" t="str">
        <x:f>"226"</x:f>
        <x:v>226</x:v>
      </x:c>
      <x:c r="R26" s="28" t="str">
        <x:f>"CS00002"</x:f>
        <x:v>CS00002</x:v>
      </x:c>
      <x:c r="S26" s="22" t="str">
        <x:v>GTIN repetido em produtos distintos</x:v>
      </x:c>
      <x:c r="T26" s="22" t="str">
        <x:v>CLORETO SODIO % - 100ML - CAIXA - FR | CX | CONTEUDO16 | FATOR16 - FARMARIN</x:v>
      </x:c>
      <x:c r="U26" s="27" t="str"/>
      <x:c r="V26" s="27" t="str"/>
    </x:row>
    <x:row r="27">
      <x:c r="A27" s="28" t="str">
        <x:f>"G-080"</x:f>
        <x:v>G-080</x:v>
      </x:c>
      <x:c r="B27" s="22" t="str">
        <x:v>CLORETO SODIO</x:v>
      </x:c>
      <x:c r="C27" s="22" t="str">
        <x:v>ALTO</x:v>
      </x:c>
      <x:c r="D27" s="22" t="str">
        <x:v>REVISAR GTIN repetido; não consolidar automaticamente</x:v>
      </x:c>
      <x:c r="E27" s="28" t="str">
        <x:f>"CS00009"</x:f>
        <x:v>CS00009</x:v>
      </x:c>
      <x:c r="F27" s="22" t="str">
        <x:v>CLORETO DE SODIO 0,9% 10ML AP - CX/200 - EQUIPLEX</x:v>
      </x:c>
      <x:c r="G27" s="22" t="str">
        <x:v>CLORETO SODIO %</x:v>
      </x:c>
      <x:c r="H27" s="22" t="str">
        <x:v>10ML</x:v>
      </x:c>
      <x:c r="I27" s="22" t="str"/>
      <x:c r="J27" s="22" t="str">
        <x:v>AP | CX/200 | CX | CONTEUDO200 | FATOR200</x:v>
      </x:c>
      <x:c r="K27" s="22" t="str">
        <x:v>CAIXA</x:v>
      </x:c>
      <x:c r="L27" s="22" t="str">
        <x:v>EQUIPLEX</x:v>
      </x:c>
      <x:c r="M27" s="28" t="str">
        <x:f>"GTIN: 7898007676235"</x:f>
        <x:v>GTIN: 7898007676235</x:v>
      </x:c>
      <x:c r="N27" s="28" t="str">
        <x:f>"30049099"</x:f>
        <x:v>30049099</x:v>
      </x:c>
      <x:c r="O27" s="29" t="n">
        <x:v>0.25</x:v>
      </x:c>
      <x:c r="P27" s="29" t="n">
        <x:v>0.37</x:v>
      </x:c>
      <x:c r="Q27" s="28" t="str">
        <x:f>"227 | 228 | 229"</x:f>
        <x:v>227 | 228 | 229</x:v>
      </x:c>
      <x:c r="R27" s="28" t="str">
        <x:f>"CS00009 | CS00076 | CS00001"</x:f>
        <x:v>CS00009 | CS00076 | CS00001</x:v>
      </x:c>
      <x:c r="S27" s="22" t="str">
        <x:v>varios codigos legados consolidados em um produto</x:v>
      </x:c>
      <x:c r="T27" s="22" t="str">
        <x:v>CLORETO SODIO % - 10ML - CAIXA - AP | CX/200 | CX | CONTEUDO200 | FATOR200 - EQUIPLEX</x:v>
      </x:c>
      <x:c r="U27" s="27" t="str"/>
      <x:c r="V27" s="27" t="str"/>
    </x:row>
    <x:row r="28">
      <x:c r="A28" s="28" t="str">
        <x:f>"G-080"</x:f>
        <x:v>G-080</x:v>
      </x:c>
      <x:c r="B28" s="22" t="str">
        <x:v>CLORETO SODIO</x:v>
      </x:c>
      <x:c r="C28" s="22" t="str">
        <x:v>ALTO</x:v>
      </x:c>
      <x:c r="D28" s="22" t="str">
        <x:v>REVISAR GTIN repetido; não consolidar automaticamente</x:v>
      </x:c>
      <x:c r="E28" s="28" t="str">
        <x:f>"CS00004"</x:f>
        <x:v>CS00004</x:v>
      </x:c>
      <x:c r="F28" s="22" t="str">
        <x:v>CLORETO DE SODIO 0,9% 250ML CX/50 - FRESENIUS</x:v>
      </x:c>
      <x:c r="G28" s="22" t="str">
        <x:v>CLORETO SODIO %</x:v>
      </x:c>
      <x:c r="H28" s="22" t="str">
        <x:v>250ML</x:v>
      </x:c>
      <x:c r="I28" s="22" t="str"/>
      <x:c r="J28" s="22" t="str">
        <x:v>CX/50 | CX | CONTEUDO50 | FATOR50</x:v>
      </x:c>
      <x:c r="K28" s="22" t="str">
        <x:v>CAIXA</x:v>
      </x:c>
      <x:c r="L28" s="22" t="str">
        <x:v>FRESENIUS</x:v>
      </x:c>
      <x:c r="M28" s="28" t="str"/>
      <x:c r="N28" s="28" t="str">
        <x:f>"28470000"</x:f>
        <x:v>28470000</x:v>
      </x:c>
      <x:c r="O28" s="29" t="n">
        <x:v>3.83</x:v>
      </x:c>
      <x:c r="P28" s="29" t="n">
        <x:v>5.45</x:v>
      </x:c>
      <x:c r="Q28" s="28" t="str">
        <x:f>"204 | 205 | 206 | 207 | 208"</x:f>
        <x:v>204 | 205 | 206 | 207 | 208</x:v>
      </x:c>
      <x:c r="R28" s="28" t="str">
        <x:f>"CS00004 | CS00003 | CS00015 | CS00017 | CS00018"</x:f>
        <x:v>CS00004 | CS00003 | CS00015 | CS00017 | CS00018</x:v>
      </x:c>
      <x:c r="S28" s="22" t="str">
        <x:v>varios codigos legados consolidados em um produto; GTIN ausente ou invalido</x:v>
      </x:c>
      <x:c r="T28" s="22" t="str">
        <x:v>CLORETO SODIO % - 250ML - CAIXA - CX/50 | CX | CONTEUDO50 | FATOR50 - FRESENIUS</x:v>
      </x:c>
      <x:c r="U28" s="27" t="str"/>
      <x:c r="V28" s="27" t="str"/>
    </x:row>
    <x:row r="29">
      <x:c r="A29" s="28" t="str">
        <x:f>"G-080"</x:f>
        <x:v>G-080</x:v>
      </x:c>
      <x:c r="B29" s="22" t="str">
        <x:v>CLORETO SODIO</x:v>
      </x:c>
      <x:c r="C29" s="22" t="str">
        <x:v>ALTO</x:v>
      </x:c>
      <x:c r="D29" s="22" t="str">
        <x:v>REVISAR GTIN repetido; não consolidar automaticamente</x:v>
      </x:c>
      <x:c r="E29" s="28" t="str">
        <x:f>"CS00006"</x:f>
        <x:v>CS00006</x:v>
      </x:c>
      <x:c r="F29" s="22" t="str">
        <x:v>CLORETO DE SODIO 0,9% 500ML - CX/50 - ACULIFE</x:v>
      </x:c>
      <x:c r="G29" s="22" t="str">
        <x:v>CLORETO SODIO %</x:v>
      </x:c>
      <x:c r="H29" s="22" t="str">
        <x:v>500ML</x:v>
      </x:c>
      <x:c r="I29" s="22" t="str"/>
      <x:c r="J29" s="22" t="str">
        <x:v>CX/50 | CX | CONTEUDO50 | FATOR50</x:v>
      </x:c>
      <x:c r="K29" s="22" t="str">
        <x:v>CAIXA</x:v>
      </x:c>
      <x:c r="L29" s="22" t="str">
        <x:v>ACULIFE</x:v>
      </x:c>
      <x:c r="M29" s="28" t="str"/>
      <x:c r="N29" s="28" t="str">
        <x:f>"28470000"</x:f>
        <x:v>28470000</x:v>
      </x:c>
      <x:c r="O29" s="29" t="n">
        <x:v>3.89</x:v>
      </x:c>
      <x:c r="P29" s="29" t="n">
        <x:v>6.5</x:v>
      </x:c>
      <x:c r="Q29" s="28" t="str">
        <x:f>"225"</x:f>
        <x:v>225</x:v>
      </x:c>
      <x:c r="R29" s="28" t="str">
        <x:f>"CS00006"</x:f>
        <x:v>CS00006</x:v>
      </x:c>
      <x:c r="S29" s="22" t="str">
        <x:v>GTIN ausente ou invalido</x:v>
      </x:c>
      <x:c r="T29" s="22" t="str">
        <x:v>CLORETO SODIO % - 500ML - CAIXA - CX/50 | CX | CONTEUDO50 | FATOR50 - ACULIFE</x:v>
      </x:c>
      <x:c r="U29" s="27" t="str"/>
      <x:c r="V29" s="27" t="str"/>
    </x:row>
    <x:row r="30">
      <x:c r="A30" s="28" t="str">
        <x:f>"G-080"</x:f>
        <x:v>G-080</x:v>
      </x:c>
      <x:c r="B30" s="22" t="str">
        <x:v>CLORETO SODIO</x:v>
      </x:c>
      <x:c r="C30" s="22" t="str">
        <x:v>ALTO</x:v>
      </x:c>
      <x:c r="D30" s="22" t="str">
        <x:v>REVISAR GTIN repetido; não consolidar automaticamente</x:v>
      </x:c>
      <x:c r="E30" s="28" t="str">
        <x:f>"CS00007"</x:f>
        <x:v>CS00007</x:v>
      </x:c>
      <x:c r="F30" s="22" t="str">
        <x:v>CLORETO DE SODIO 0,9% 500ML - CX/50 - FRESENIUS</x:v>
      </x:c>
      <x:c r="G30" s="22" t="str">
        <x:v>CLORETO SODIO %</x:v>
      </x:c>
      <x:c r="H30" s="22" t="str">
        <x:v>500ML</x:v>
      </x:c>
      <x:c r="I30" s="22" t="str"/>
      <x:c r="J30" s="22" t="str">
        <x:v>CX/50 | CX | CONTEUDO50 | FATOR50</x:v>
      </x:c>
      <x:c r="K30" s="22" t="str">
        <x:v>CAIXA</x:v>
      </x:c>
      <x:c r="L30" s="22" t="str">
        <x:v>FRESENIUS</x:v>
      </x:c>
      <x:c r="M30" s="28" t="str">
        <x:f>"GTIN: 7898179363896"</x:f>
        <x:v>GTIN: 7898179363896</x:v>
      </x:c>
      <x:c r="N30" s="28" t="str">
        <x:f>"28470000"</x:f>
        <x:v>28470000</x:v>
      </x:c>
      <x:c r="O30" s="29" t="n">
        <x:v>3.9</x:v>
      </x:c>
      <x:c r="P30" s="29" t="n">
        <x:v>7.84</x:v>
      </x:c>
      <x:c r="Q30" s="28" t="str">
        <x:f>"231"</x:f>
        <x:v>231</x:v>
      </x:c>
      <x:c r="R30" s="28" t="str">
        <x:f>"CS00007"</x:f>
        <x:v>CS00007</x:v>
      </x:c>
      <x:c r="S30" s="22" t="str">
        <x:v>GTIN repetido em produtos distintos</x:v>
      </x:c>
      <x:c r="T30" s="22" t="str">
        <x:v>CLORETO SODIO % - 500ML - CAIXA - CX/50 | CX | CONTEUDO50 | FATOR50 - FRESENIUS</x:v>
      </x:c>
      <x:c r="U30" s="27" t="str"/>
      <x:c r="V30" s="27" t="str"/>
    </x:row>
    <x:row r="31">
      <x:c r="A31" s="28" t="str">
        <x:f>"G-117"</x:f>
        <x:v>G-117</x:v>
      </x:c>
      <x:c r="B31" s="22" t="str">
        <x:v>CONTRASTE NAO IONICO</x:v>
      </x:c>
      <x:c r="C31" s="22" t="str">
        <x:v>ALTO</x:v>
      </x:c>
      <x:c r="D31" s="22" t="str">
        <x:v>REVISAR GTIN repetido; não consolidar automaticamente</x:v>
      </x:c>
      <x:c r="E31" s="28" t="str">
        <x:f>"CNI0006"</x:f>
        <x:v>CNI0006</x:v>
      </x:c>
      <x:c r="F31" s="22" t="str">
        <x:v>CONTRASTE NÃO IONICO 300MG/1000ML - OMNIPAQUE</x:v>
      </x:c>
      <x:c r="G31" s="22" t="str">
        <x:v>CONTRASTE NAO IONICO</x:v>
      </x:c>
      <x:c r="H31" s="22" t="str">
        <x:v>300MG/1000ML | 300MG | 1000ML</x:v>
      </x:c>
      <x:c r="I31" s="22" t="str"/>
      <x:c r="J31" s="22" t="str">
        <x:v>CX | CONTEUDO1</x:v>
      </x:c>
      <x:c r="K31" s="22" t="str">
        <x:v>CAIXA</x:v>
      </x:c>
      <x:c r="L31" s="22" t="str">
        <x:v>OMNIPAQUE</x:v>
      </x:c>
      <x:c r="M31" s="28" t="str"/>
      <x:c r="N31" s="28" t="str">
        <x:f>"30049099"</x:f>
        <x:v>30049099</x:v>
      </x:c>
      <x:c r="O31" s="29" t="n">
        <x:v>55</x:v>
      </x:c>
      <x:c r="P31" s="29" t="n">
        <x:v>115</x:v>
      </x:c>
      <x:c r="Q31" s="28" t="str">
        <x:f>"350"</x:f>
        <x:v>350</x:v>
      </x:c>
      <x:c r="R31" s="28" t="str">
        <x:f>"CNI0006"</x:f>
        <x:v>CNI0006</x:v>
      </x:c>
      <x:c r="S31" s="22" t="str">
        <x:v>GTIN ausente ou invalido</x:v>
      </x:c>
      <x:c r="T31" s="22" t="str">
        <x:v>CONTRASTE NAO IONICO - 300MG/1000ML | 300MG | 1000ML - CAIXA - CX | CONTEUDO1 - OMNIPAQUE</x:v>
      </x:c>
      <x:c r="U31" s="27" t="str"/>
      <x:c r="V31" s="27" t="str"/>
    </x:row>
    <x:row r="32">
      <x:c r="A32" s="28" t="str">
        <x:f>"G-117"</x:f>
        <x:v>G-117</x:v>
      </x:c>
      <x:c r="B32" s="22" t="str">
        <x:v>CONTRASTE NAO IONICO</x:v>
      </x:c>
      <x:c r="C32" s="22" t="str">
        <x:v>ALTO</x:v>
      </x:c>
      <x:c r="D32" s="22" t="str">
        <x:v>REVISAR GTIN repetido; não consolidar automaticamente</x:v>
      </x:c>
      <x:c r="E32" s="28" t="str">
        <x:f>"CNI0039"</x:f>
        <x:v>CNI0039</x:v>
      </x:c>
      <x:c r="F32" s="22" t="str">
        <x:v>CONTRASTE NÃO IONICO 300MG/100ML - GE HEALTHCARE (OMNIPAQUE)</x:v>
      </x:c>
      <x:c r="G32" s="22" t="str">
        <x:v>CONTRASTE NAO IONICO</x:v>
      </x:c>
      <x:c r="H32" s="22" t="str">
        <x:v>300MG/100ML | 300MG | 100ML</x:v>
      </x:c>
      <x:c r="I32" s="22" t="str"/>
      <x:c r="J32" s="22" t="str">
        <x:v>CX | CONTEUDO1</x:v>
      </x:c>
      <x:c r="K32" s="22" t="str">
        <x:v>CAIXA</x:v>
      </x:c>
      <x:c r="L32" s="22" t="str">
        <x:v>GE HEALTHCARE</x:v>
      </x:c>
      <x:c r="M32" s="28" t="str">
        <x:f>"GTIN: 7898946550054"</x:f>
        <x:v>GTIN: 7898946550054</x:v>
      </x:c>
      <x:c r="N32" s="28" t="str">
        <x:f>"30049099"</x:f>
        <x:v>30049099</x:v>
      </x:c>
      <x:c r="O32" s="29" t="n">
        <x:v>70</x:v>
      </x:c>
      <x:c r="P32" s="29" t="n">
        <x:v>115</x:v>
      </x:c>
      <x:c r="Q32" s="28" t="str">
        <x:f>"352"</x:f>
        <x:v>352</x:v>
      </x:c>
      <x:c r="R32" s="28" t="str">
        <x:f>"CNI0039"</x:f>
        <x:v>CNI0039</x:v>
      </x:c>
      <x:c r="S32" s="22" t="str"/>
      <x:c r="T32" s="22" t="str">
        <x:v>CONTRASTE NAO IONICO - 300MG/100ML | 300MG | 100ML - CAIXA - CX | CONTEUDO1 - GE HEALTHCARE</x:v>
      </x:c>
      <x:c r="U32" s="27" t="str"/>
      <x:c r="V32" s="27" t="str"/>
    </x:row>
    <x:row r="33">
      <x:c r="A33" s="28" t="str">
        <x:f>"G-117"</x:f>
        <x:v>G-117</x:v>
      </x:c>
      <x:c r="B33" s="22" t="str">
        <x:v>CONTRASTE NAO IONICO</x:v>
      </x:c>
      <x:c r="C33" s="22" t="str">
        <x:v>ALTO</x:v>
      </x:c>
      <x:c r="D33" s="22" t="str">
        <x:v>REVISAR GTIN repetido; não consolidar automaticamente</x:v>
      </x:c>
      <x:c r="E33" s="28" t="str">
        <x:f>"CNI0058"</x:f>
        <x:v>CNI0058</x:v>
      </x:c>
      <x:c r="F33" s="22" t="str">
        <x:v>CONTRASTE NÃO IONICO 300MG/100ML - OMNIPAQUE</x:v>
      </x:c>
      <x:c r="G33" s="22" t="str">
        <x:v>CONTRASTE NAO IONICO</x:v>
      </x:c>
      <x:c r="H33" s="22" t="str">
        <x:v>300MG/100ML | 300MG | 100ML</x:v>
      </x:c>
      <x:c r="I33" s="22" t="str"/>
      <x:c r="J33" s="22" t="str">
        <x:v>CX | CONTEUDO1</x:v>
      </x:c>
      <x:c r="K33" s="22" t="str">
        <x:v>CAIXA</x:v>
      </x:c>
      <x:c r="L33" s="22" t="str">
        <x:v>OMNIPAQUE</x:v>
      </x:c>
      <x:c r="M33" s="28" t="str">
        <x:f>"GTIN: 7897322703329"</x:f>
        <x:v>GTIN: 7897322703329</x:v>
      </x:c>
      <x:c r="N33" s="28" t="str">
        <x:f>"30049099"</x:f>
        <x:v>30049099</x:v>
      </x:c>
      <x:c r="O33" s="29" t="n">
        <x:v>55</x:v>
      </x:c>
      <x:c r="P33" s="29" t="n">
        <x:v>115</x:v>
      </x:c>
      <x:c r="Q33" s="28" t="str">
        <x:f>"351"</x:f>
        <x:v>351</x:v>
      </x:c>
      <x:c r="R33" s="28" t="str">
        <x:f>"CNI0058"</x:f>
        <x:v>CNI0058</x:v>
      </x:c>
      <x:c r="S33" s="22" t="str"/>
      <x:c r="T33" s="22" t="str">
        <x:v>CONTRASTE NAO IONICO - 300MG/100ML | 300MG | 100ML - CAIXA - CX | CONTEUDO1 - OMNIPAQUE</x:v>
      </x:c>
      <x:c r="U33" s="27" t="str"/>
      <x:c r="V33" s="27" t="str"/>
    </x:row>
    <x:row r="34">
      <x:c r="A34" s="28" t="str">
        <x:f>"G-117"</x:f>
        <x:v>G-117</x:v>
      </x:c>
      <x:c r="B34" s="22" t="str">
        <x:v>CONTRASTE NAO IONICO</x:v>
      </x:c>
      <x:c r="C34" s="22" t="str">
        <x:v>ALTO</x:v>
      </x:c>
      <x:c r="D34" s="22" t="str">
        <x:v>REVISAR GTIN repetido; não consolidar automaticamente</x:v>
      </x:c>
      <x:c r="E34" s="28" t="str">
        <x:f>"CNI0002"</x:f>
        <x:v>CNI0002</x:v>
      </x:c>
      <x:c r="F34" s="22" t="str">
        <x:v>CONTRASTE NÃO IONICO 300MG/50ML - OMNIPAQUE</x:v>
      </x:c>
      <x:c r="G34" s="22" t="str">
        <x:v>CONTRASTE NAO IONICO</x:v>
      </x:c>
      <x:c r="H34" s="22" t="str">
        <x:v>300MG/50ML | 300MG | 50ML</x:v>
      </x:c>
      <x:c r="I34" s="22" t="str"/>
      <x:c r="J34" s="22" t="str">
        <x:v>CX | CONTEUDO1</x:v>
      </x:c>
      <x:c r="K34" s="22" t="str">
        <x:v>CAIXA</x:v>
      </x:c>
      <x:c r="L34" s="22" t="str">
        <x:v>OMNIPAQUE</x:v>
      </x:c>
      <x:c r="M34" s="28" t="str">
        <x:f>"GTIN: 789759590026"</x:f>
        <x:v>GTIN: 789759590026</x:v>
      </x:c>
      <x:c r="N34" s="28" t="str">
        <x:f>"30049099"</x:f>
        <x:v>30049099</x:v>
      </x:c>
      <x:c r="O34" s="29" t="n">
        <x:v>55</x:v>
      </x:c>
      <x:c r="P34" s="29" t="n">
        <x:v>115</x:v>
      </x:c>
      <x:c r="Q34" s="28" t="str">
        <x:f>"353"</x:f>
        <x:v>353</x:v>
      </x:c>
      <x:c r="R34" s="28" t="str">
        <x:f>"CNI0002"</x:f>
        <x:v>CNI0002</x:v>
      </x:c>
      <x:c r="S34" s="22" t="str"/>
      <x:c r="T34" s="22" t="str">
        <x:v>CONTRASTE NAO IONICO - 300MG/50ML | 300MG | 50ML - CAIXA - CX | CONTEUDO1 - OMNIPAQUE</x:v>
      </x:c>
      <x:c r="U34" s="27" t="str"/>
      <x:c r="V34" s="27" t="str"/>
    </x:row>
    <x:row r="35">
      <x:c r="A35" s="28" t="str">
        <x:f>"G-117"</x:f>
        <x:v>G-117</x:v>
      </x:c>
      <x:c r="B35" s="22" t="str">
        <x:v>CONTRASTE NAO IONICO</x:v>
      </x:c>
      <x:c r="C35" s="22" t="str">
        <x:v>ALTO</x:v>
      </x:c>
      <x:c r="D35" s="22" t="str">
        <x:v>REVISAR GTIN repetido; não consolidar automaticamente</x:v>
      </x:c>
      <x:c r="E35" s="28" t="str">
        <x:f>"CNI0004"</x:f>
        <x:v>CNI0004</x:v>
      </x:c>
      <x:c r="F35" s="22" t="str">
        <x:v>CONTRASTE NÃO IONICO HENETIX 300/100ML</x:v>
      </x:c>
      <x:c r="G35" s="22" t="str">
        <x:v>CONTRASTE NAO IONICO</x:v>
      </x:c>
      <x:c r="H35" s="22" t="str">
        <x:v>100ML</x:v>
      </x:c>
      <x:c r="I35" s="22" t="str"/>
      <x:c r="J35" s="22" t="str">
        <x:v>FRASCO</x:v>
      </x:c>
      <x:c r="K35" s="22" t="str">
        <x:v>FRASCO</x:v>
      </x:c>
      <x:c r="L35" s="22" t="str">
        <x:v>HENETIX</x:v>
      </x:c>
      <x:c r="M35" s="28" t="str">
        <x:f>"GTIN: 7897854900838"</x:f>
        <x:v>GTIN: 7897854900838</x:v>
      </x:c>
      <x:c r="N35" s="28" t="str">
        <x:f>"30049099"</x:f>
        <x:v>30049099</x:v>
      </x:c>
      <x:c r="O35" s="29" t="n">
        <x:v>90</x:v>
      </x:c>
      <x:c r="P35" s="29" t="n">
        <x:v>90</x:v>
      </x:c>
      <x:c r="Q35" s="28" t="str">
        <x:f>"354 | 355 | 356"</x:f>
        <x:v>354 | 355 | 356</x:v>
      </x:c>
      <x:c r="R35" s="28" t="str">
        <x:f>"CNI0004 | CNI0001 | CNI0003"</x:f>
        <x:v>CNI0004 | CNI0001 | CNI0003</x:v>
      </x:c>
      <x:c r="S35" s="22" t="str">
        <x:v>varios codigos legados consolidados em um produto; GTIN repetido em produtos distintos; custo divergente entre lotes; preco de venda divergente entre lotes</x:v>
      </x:c>
      <x:c r="T35" s="22" t="str">
        <x:v>CONTRASTE NAO IONICO - 100ML - FRASCO - HENETIX</x:v>
      </x:c>
      <x:c r="U35" s="27" t="str"/>
      <x:c r="V35" s="27" t="str"/>
    </x:row>
    <x:row r="36">
      <x:c r="A36" s="28" t="str">
        <x:f>"G-117"</x:f>
        <x:v>G-117</x:v>
      </x:c>
      <x:c r="B36" s="22" t="str">
        <x:v>CONTRASTE NAO IONICO</x:v>
      </x:c>
      <x:c r="C36" s="22" t="str">
        <x:v>ALTO</x:v>
      </x:c>
      <x:c r="D36" s="22" t="str">
        <x:v>REVISAR GTIN repetido; não consolidar automaticamente</x:v>
      </x:c>
      <x:c r="E36" s="28" t="str">
        <x:f>"CNI0018"</x:f>
        <x:v>CNI0018</x:v>
      </x:c>
      <x:c r="F36" s="22" t="str">
        <x:v>CONTRASTE NÃO IONICO HENETIX 350/100ML</x:v>
      </x:c>
      <x:c r="G36" s="22" t="str">
        <x:v>CONTRASTE NAO IONICO</x:v>
      </x:c>
      <x:c r="H36" s="22" t="str">
        <x:v>100ML</x:v>
      </x:c>
      <x:c r="I36" s="22" t="str"/>
      <x:c r="J36" s="22" t="str">
        <x:v>FRASCO</x:v>
      </x:c>
      <x:c r="K36" s="22" t="str">
        <x:v>FRASCO</x:v>
      </x:c>
      <x:c r="L36" s="22" t="str">
        <x:v>HENETIX</x:v>
      </x:c>
      <x:c r="M36" s="28" t="str">
        <x:f>"GTIN: 7897854900838"</x:f>
        <x:v>GTIN: 7897854900838</x:v>
      </x:c>
      <x:c r="N36" s="28" t="str">
        <x:f>"30049099"</x:f>
        <x:v>30049099</x:v>
      </x:c>
      <x:c r="O36" s="29" t="n">
        <x:v>100</x:v>
      </x:c>
      <x:c r="P36" s="29" t="n">
        <x:v>190</x:v>
      </x:c>
      <x:c r="Q36" s="28" t="str">
        <x:f>"357"</x:f>
        <x:v>357</x:v>
      </x:c>
      <x:c r="R36" s="28" t="str">
        <x:f>"CNI0018"</x:f>
        <x:v>CNI0018</x:v>
      </x:c>
      <x:c r="S36" s="22" t="str">
        <x:v>GTIN repetido em produtos distintos</x:v>
      </x:c>
      <x:c r="T36" s="22" t="str">
        <x:v>CONTRASTE NAO IONICO - 100ML - FRASCO - HENETIX</x:v>
      </x:c>
      <x:c r="U36" s="27" t="str"/>
      <x:c r="V36" s="27" t="str"/>
    </x:row>
    <x:row r="37">
      <x:c r="A37" s="28" t="str">
        <x:f>"G-138"</x:f>
        <x:v>G-138</x:v>
      </x:c>
      <x:c r="B37" s="22" t="str">
        <x:v>ENOXAPARINA</x:v>
      </x:c>
      <x:c r="C37" s="22" t="str">
        <x:v>ALTO</x:v>
      </x:c>
      <x:c r="D37" s="22" t="str">
        <x:v>REVISAR GTIN repetido; não consolidar automaticamente</x:v>
      </x:c>
      <x:c r="E37" s="28" t="str">
        <x:f>"E2-0002"</x:f>
        <x:v>E2-0002</x:v>
      </x:c>
      <x:c r="F37" s="22" t="str">
        <x:v>ENOXAPARINA 20MG - CX/10 - VIATRIS</x:v>
      </x:c>
      <x:c r="G37" s="22" t="str">
        <x:v>ENOXAPARINA</x:v>
      </x:c>
      <x:c r="H37" s="22" t="str">
        <x:v>20MG</x:v>
      </x:c>
      <x:c r="I37" s="22" t="str"/>
      <x:c r="J37" s="22" t="str">
        <x:v>CX/10 | CX | CONTEUDO10 | FATOR10</x:v>
      </x:c>
      <x:c r="K37" s="22" t="str">
        <x:v>CAIXA</x:v>
      </x:c>
      <x:c r="L37" s="22" t="str">
        <x:v>VIATRIS</x:v>
      </x:c>
      <x:c r="M37" s="28" t="str"/>
      <x:c r="N37" s="28" t="str">
        <x:f>"30049099"</x:f>
        <x:v>30049099</x:v>
      </x:c>
      <x:c r="O37" s="29" t="n">
        <x:v>6</x:v>
      </x:c>
      <x:c r="P37" s="29" t="n">
        <x:v>9.5</x:v>
      </x:c>
      <x:c r="Q37" s="28" t="str">
        <x:f>"396 | 397 | 398 | 399"</x:f>
        <x:v>396 | 397 | 398 | 399</x:v>
      </x:c>
      <x:c r="R37" s="28" t="str">
        <x:f>"E2-0011 | E2-0014 | E2-0002 | E6-0001"</x:f>
        <x:v>E2-0011 | E2-0014 | E2-0002 | E6-0001</x:v>
      </x:c>
      <x:c r="S37" s="22" t="str">
        <x:v>varios codigos legados consolidados em um produto; mais de um GTIN no mesmo produto; custo divergente entre lotes; preco de venda divergente entre lotes</x:v>
      </x:c>
      <x:c r="T37" s="22" t="str">
        <x:v>ENOXAPARINA - 20MG - CAIXA - CX/10 | CX | CONTEUDO10 | FATOR10 - VIATRIS</x:v>
      </x:c>
      <x:c r="U37" s="27" t="str"/>
      <x:c r="V37" s="27" t="str"/>
    </x:row>
    <x:row r="38">
      <x:c r="A38" s="28" t="str">
        <x:f>"G-138"</x:f>
        <x:v>G-138</x:v>
      </x:c>
      <x:c r="B38" s="22" t="str">
        <x:v>ENOXAPARINA</x:v>
      </x:c>
      <x:c r="C38" s="22" t="str">
        <x:v>ALTO</x:v>
      </x:c>
      <x:c r="D38" s="22" t="str">
        <x:v>REVISAR GTIN repetido; não consolidar automaticamente</x:v>
      </x:c>
      <x:c r="E38" s="28" t="str">
        <x:f>"E4-0008"</x:f>
        <x:v>E4-0008</x:v>
      </x:c>
      <x:c r="F38" s="22" t="str">
        <x:v>ENOXAPARINA 40MG - CX/10 - CRISTÁLIA</x:v>
      </x:c>
      <x:c r="G38" s="22" t="str">
        <x:v>ENOXAPARINA</x:v>
      </x:c>
      <x:c r="H38" s="22" t="str">
        <x:v>40MG</x:v>
      </x:c>
      <x:c r="I38" s="22" t="str"/>
      <x:c r="J38" s="22" t="str">
        <x:v>CX/10 | CX | CONTEUDO10 | FATOR10</x:v>
      </x:c>
      <x:c r="K38" s="22" t="str">
        <x:v>CAIXA</x:v>
      </x:c>
      <x:c r="L38" s="22" t="str">
        <x:v>CRISTÁLIA</x:v>
      </x:c>
      <x:c r="M38" s="28" t="str">
        <x:f>"GTIN: 7898560664939"</x:f>
        <x:v>GTIN: 7898560664939</x:v>
      </x:c>
      <x:c r="N38" s="28" t="str">
        <x:f>"30049099"</x:f>
        <x:v>30049099</x:v>
      </x:c>
      <x:c r="O38" s="29" t="n">
        <x:v>12.2</x:v>
      </x:c>
      <x:c r="P38" s="29" t="n">
        <x:v>16.9</x:v>
      </x:c>
      <x:c r="Q38" s="28" t="str">
        <x:f>"400 | 401"</x:f>
        <x:v>400 | 401</x:v>
      </x:c>
      <x:c r="R38" s="28" t="str">
        <x:f>"E4-0008 | E4-0006"</x:f>
        <x:v>E4-0008 | E4-0006</x:v>
      </x:c>
      <x:c r="S38" s="22" t="str">
        <x:v>varios codigos legados consolidados em um produto; GTIN repetido em produtos distintos</x:v>
      </x:c>
      <x:c r="T38" s="22" t="str">
        <x:v>ENOXAPARINA - 40MG - CAIXA - CX/10 | CX | CONTEUDO10 | FATOR10 - CRISTÁLIA</x:v>
      </x:c>
      <x:c r="U38" s="27" t="str"/>
      <x:c r="V38" s="27" t="str"/>
    </x:row>
    <x:row r="39">
      <x:c r="A39" s="28" t="str">
        <x:f>"G-138"</x:f>
        <x:v>G-138</x:v>
      </x:c>
      <x:c r="B39" s="22" t="str">
        <x:v>ENOXAPARINA</x:v>
      </x:c>
      <x:c r="C39" s="22" t="str">
        <x:v>ALTO</x:v>
      </x:c>
      <x:c r="D39" s="22" t="str">
        <x:v>REVISAR GTIN repetido; não consolidar automaticamente</x:v>
      </x:c>
      <x:c r="E39" s="28" t="str">
        <x:f>"E4-0009"</x:f>
        <x:v>E4-0009</x:v>
      </x:c>
      <x:c r="F39" s="22" t="str">
        <x:v>ENOXAPARINA 40MG - CX/10 - VIATRIS</x:v>
      </x:c>
      <x:c r="G39" s="22" t="str">
        <x:v>ENOXAPARINA</x:v>
      </x:c>
      <x:c r="H39" s="22" t="str">
        <x:v>40MG</x:v>
      </x:c>
      <x:c r="I39" s="22" t="str"/>
      <x:c r="J39" s="22" t="str">
        <x:v>CX/10 | CX | CONTEUDO10 | FATOR10</x:v>
      </x:c>
      <x:c r="K39" s="22" t="str">
        <x:v>CAIXA</x:v>
      </x:c>
      <x:c r="L39" s="22" t="str">
        <x:v>VIATRIS</x:v>
      </x:c>
      <x:c r="M39" s="28" t="str">
        <x:f>"GTIN: 7898560664939"</x:f>
        <x:v>GTIN: 7898560664939</x:v>
      </x:c>
      <x:c r="N39" s="28" t="str">
        <x:f>"30049099"</x:f>
        <x:v>30049099</x:v>
      </x:c>
      <x:c r="O39" s="29" t="n">
        <x:v>12.2</x:v>
      </x:c>
      <x:c r="P39" s="29" t="n">
        <x:v>16.9</x:v>
      </x:c>
      <x:c r="Q39" s="28" t="str">
        <x:f>"402 | 403 | 404 | 405 | 406 | 407 | 408"</x:f>
        <x:v>402 | 403 | 404 | 405 | 406 | 407 | 408</x:v>
      </x:c>
      <x:c r="R39" s="28" t="str">
        <x:f>"E4-0005 | E4-0009 | E4-0001 | E4-0002 | E4-0003 | E4-0004 | E4-0010"</x:f>
        <x:v>E4-0005 | E4-0009 | E4-0001 | E4-0002 | E4-0003 | E4-0004 | E4-0010</x:v>
      </x:c>
      <x:c r="S39" s="22" t="str">
        <x:v>varios codigos legados consolidados em um produto; GTIN repetido em produtos distintos</x:v>
      </x:c>
      <x:c r="T39" s="22" t="str">
        <x:v>ENOXAPARINA - 40MG - CAIXA - CX/10 | CX | CONTEUDO10 | FATOR10 - VIATRIS</x:v>
      </x:c>
      <x:c r="U39" s="27" t="str"/>
      <x:c r="V39" s="27" t="str"/>
    </x:row>
    <x:row r="40">
      <x:c r="A40" s="28" t="str">
        <x:f>"G-138"</x:f>
        <x:v>G-138</x:v>
      </x:c>
      <x:c r="B40" s="22" t="str">
        <x:v>ENOXAPARINA</x:v>
      </x:c>
      <x:c r="C40" s="22" t="str">
        <x:v>ALTO</x:v>
      </x:c>
      <x:c r="D40" s="22" t="str">
        <x:v>REVISAR GTIN repetido; não consolidar automaticamente</x:v>
      </x:c>
      <x:c r="E40" s="28" t="str">
        <x:f>"E6-0010"</x:f>
        <x:v>E6-0010</x:v>
      </x:c>
      <x:c r="F40" s="22" t="str">
        <x:v>ENOXAPARINA 60MG - CX/02 - BLAU</x:v>
      </x:c>
      <x:c r="G40" s="22" t="str">
        <x:v>ENOXAPARINA</x:v>
      </x:c>
      <x:c r="H40" s="22" t="str">
        <x:v>60MG</x:v>
      </x:c>
      <x:c r="I40" s="22" t="str"/>
      <x:c r="J40" s="22" t="str">
        <x:v>CX/02 | CX | CONTEUDO2 | FATOR2</x:v>
      </x:c>
      <x:c r="K40" s="22" t="str">
        <x:v>CAIXA</x:v>
      </x:c>
      <x:c r="L40" s="22" t="str">
        <x:v>BLAU</x:v>
      </x:c>
      <x:c r="M40" s="28" t="str">
        <x:f>"GTIN: 7896014671632"</x:f>
        <x:v>GTIN: 7896014671632</x:v>
      </x:c>
      <x:c r="N40" s="28" t="str">
        <x:f>"30049099"</x:f>
        <x:v>30049099</x:v>
      </x:c>
      <x:c r="O40" s="29" t="n">
        <x:v>11</x:v>
      </x:c>
      <x:c r="P40" s="29" t="n">
        <x:v>17.9</x:v>
      </x:c>
      <x:c r="Q40" s="28" t="str">
        <x:f>"409"</x:f>
        <x:v>409</x:v>
      </x:c>
      <x:c r="R40" s="28" t="str">
        <x:f>"E6-0010"</x:f>
        <x:v>E6-0010</x:v>
      </x:c>
      <x:c r="S40" s="22" t="str"/>
      <x:c r="T40" s="22" t="str">
        <x:v>ENOXAPARINA - 60MG - CAIXA - CX/02 | CX | CONTEUDO2 | FATOR2 - BLAU</x:v>
      </x:c>
      <x:c r="U40" s="27" t="str"/>
      <x:c r="V40" s="27" t="str"/>
    </x:row>
    <x:row r="41">
      <x:c r="A41" s="28" t="str">
        <x:f>"G-138"</x:f>
        <x:v>G-138</x:v>
      </x:c>
      <x:c r="B41" s="22" t="str">
        <x:v>ENOXAPARINA</x:v>
      </x:c>
      <x:c r="C41" s="22" t="str">
        <x:v>ALTO</x:v>
      </x:c>
      <x:c r="D41" s="22" t="str">
        <x:v>REVISAR GTIN repetido; não consolidar automaticamente</x:v>
      </x:c>
      <x:c r="E41" s="28" t="str">
        <x:f>"E4-0007"</x:f>
        <x:v>E4-0007</x:v>
      </x:c>
      <x:c r="F41" s="22" t="str">
        <x:v>ENOXAPARINA 60MG - CX/10 - VIATRIS</x:v>
      </x:c>
      <x:c r="G41" s="22" t="str">
        <x:v>ENOXAPARINA</x:v>
      </x:c>
      <x:c r="H41" s="22" t="str">
        <x:v>60MG</x:v>
      </x:c>
      <x:c r="I41" s="22" t="str"/>
      <x:c r="J41" s="22" t="str">
        <x:v>CX/10 | CX | CONTEUDO10 | FATOR10</x:v>
      </x:c>
      <x:c r="K41" s="22" t="str">
        <x:v>CAIXA</x:v>
      </x:c>
      <x:c r="L41" s="22" t="str">
        <x:v>VIATRIS</x:v>
      </x:c>
      <x:c r="M41" s="28" t="str">
        <x:f>"GTIN: 7898560664939"</x:f>
        <x:v>GTIN: 7898560664939</x:v>
      </x:c>
      <x:c r="N41" s="28" t="str">
        <x:f>"30049099"</x:f>
        <x:v>30049099</x:v>
      </x:c>
      <x:c r="O41" s="29" t="n">
        <x:v>12.2</x:v>
      </x:c>
      <x:c r="P41" s="29" t="n">
        <x:v>16.9</x:v>
      </x:c>
      <x:c r="Q41" s="28" t="str">
        <x:f>"410"</x:f>
        <x:v>410</x:v>
      </x:c>
      <x:c r="R41" s="28" t="str">
        <x:f>"E4-0007"</x:f>
        <x:v>E4-0007</x:v>
      </x:c>
      <x:c r="S41" s="22" t="str">
        <x:v>GTIN repetido em produtos distintos</x:v>
      </x:c>
      <x:c r="T41" s="22" t="str">
        <x:v>ENOXAPARINA - 60MG - CAIXA - CX/10 | CX | CONTEUDO10 | FATOR10 - VIATRIS</x:v>
      </x:c>
      <x:c r="U41" s="27" t="str"/>
      <x:c r="V41" s="27" t="str"/>
    </x:row>
    <x:row r="42">
      <x:c r="A42" s="28" t="str">
        <x:f>"G-138"</x:f>
        <x:v>G-138</x:v>
      </x:c>
      <x:c r="B42" s="22" t="str">
        <x:v>ENOXAPARINA</x:v>
      </x:c>
      <x:c r="C42" s="22" t="str">
        <x:v>ALTO</x:v>
      </x:c>
      <x:c r="D42" s="22" t="str">
        <x:v>REVISAR GTIN repetido; não consolidar automaticamente</x:v>
      </x:c>
      <x:c r="E42" s="28" t="str">
        <x:f>"E2-0001"</x:f>
        <x:v>E2-0001</x:v>
      </x:c>
      <x:c r="F42" s="22" t="str">
        <x:v>ENOXAPARINA 80MG - CX/02 - VIATRIS</x:v>
      </x:c>
      <x:c r="G42" s="22" t="str">
        <x:v>ENOXAPARINA</x:v>
      </x:c>
      <x:c r="H42" s="22" t="str">
        <x:v>80MG</x:v>
      </x:c>
      <x:c r="I42" s="22" t="str"/>
      <x:c r="J42" s="22" t="str">
        <x:v>CX/02 | CX | CONTEUDO2 | FATOR2</x:v>
      </x:c>
      <x:c r="K42" s="22" t="str">
        <x:v>CAIXA</x:v>
      </x:c>
      <x:c r="L42" s="22" t="str">
        <x:v>VIATRIS</x:v>
      </x:c>
      <x:c r="M42" s="28" t="str">
        <x:f>"GTIN: 7898560664878"</x:f>
        <x:v>GTIN: 7898560664878</x:v>
      </x:c>
      <x:c r="N42" s="28" t="str">
        <x:f>"30049099"</x:f>
        <x:v>30049099</x:v>
      </x:c>
      <x:c r="O42" s="29" t="n">
        <x:v>8</x:v>
      </x:c>
      <x:c r="P42" s="29" t="n">
        <x:v>21</x:v>
      </x:c>
      <x:c r="Q42" s="28" t="str">
        <x:f>"411"</x:f>
        <x:v>411</x:v>
      </x:c>
      <x:c r="R42" s="28" t="str">
        <x:f>"E2-0001"</x:f>
        <x:v>E2-0001</x:v>
      </x:c>
      <x:c r="S42" s="22" t="str">
        <x:v>GTIN repetido em produtos distintos</x:v>
      </x:c>
      <x:c r="T42" s="22" t="str">
        <x:v>ENOXAPARINA - 80MG - CAIXA - CX/02 | CX | CONTEUDO2 | FATOR2 - VIATRIS</x:v>
      </x:c>
      <x:c r="U42" s="27" t="str"/>
      <x:c r="V42" s="27" t="str"/>
    </x:row>
    <x:row r="43">
      <x:c r="A43" s="28" t="str">
        <x:f>"G-112"</x:f>
        <x:v>G-112</x:v>
      </x:c>
      <x:c r="B43" s="22" t="str">
        <x:v>COMPRESSAS GAZE ESTERIL</x:v>
      </x:c>
      <x:c r="C43" s="22" t="str">
        <x:v>ALTO</x:v>
      </x:c>
      <x:c r="D43" s="22" t="str">
        <x:v>REVISAR GTIN repetido; não consolidar automaticamente</x:v>
      </x:c>
      <x:c r="E43" s="28" t="str">
        <x:f>"CG70008"</x:f>
        <x:v>CG70008</x:v>
      </x:c>
      <x:c r="F43" s="22" t="str">
        <x:v>COMPRESSAS DE GAZE 7,5 X 7,5 11 FIOS ESTERIL - PCT/5 - AMED</x:v>
      </x:c>
      <x:c r="G43" s="22" t="str">
        <x:v>COMPRESSAS GAZE ESTERIL</x:v>
      </x:c>
      <x:c r="H43" s="22" t="str"/>
      <x:c r="I43" s="22" t="str">
        <x:v>7,5X7,5 | 11FIOS</x:v>
      </x:c>
      <x:c r="J43" s="22" t="str">
        <x:v>PCT/5 | PCT | CONTEUDO5 | FATOR5</x:v>
      </x:c>
      <x:c r="K43" s="22" t="str">
        <x:v>OUTRA</x:v>
      </x:c>
      <x:c r="L43" s="22" t="str">
        <x:v>AMED</x:v>
      </x:c>
      <x:c r="M43" s="28" t="str"/>
      <x:c r="N43" s="28" t="str">
        <x:f>"30059090"</x:f>
        <x:v>30059090</x:v>
      </x:c>
      <x:c r="O43" s="29" t="n">
        <x:v>0.55</x:v>
      </x:c>
      <x:c r="P43" s="29" t="n">
        <x:v>0.82</x:v>
      </x:c>
      <x:c r="Q43" s="28" t="str">
        <x:f>"338"</x:f>
        <x:v>338</x:v>
      </x:c>
      <x:c r="R43" s="28" t="str">
        <x:f>"CG70008"</x:f>
        <x:v>CG70008</x:v>
      </x:c>
      <x:c r="S43" s="22" t="str">
        <x:v>GTIN ausente ou invalido</x:v>
      </x:c>
      <x:c r="T43" s="22" t="str">
        <x:v>COMPRESSAS GAZE ESTERIL - 7,5X7,5 | 11FIOS - OUTRA - PCT/5 | PCT | CONTEUDO5 | FATOR5 - AMED</x:v>
      </x:c>
      <x:c r="U43" s="27" t="str"/>
      <x:c r="V43" s="27" t="str"/>
    </x:row>
    <x:row r="44">
      <x:c r="A44" s="28" t="str">
        <x:f>"G-112"</x:f>
        <x:v>G-112</x:v>
      </x:c>
      <x:c r="B44" s="22" t="str">
        <x:v>COMPRESSAS GAZE ESTERIL</x:v>
      </x:c>
      <x:c r="C44" s="22" t="str">
        <x:v>ALTO</x:v>
      </x:c>
      <x:c r="D44" s="22" t="str">
        <x:v>REVISAR GTIN repetido; não consolidar automaticamente</x:v>
      </x:c>
      <x:c r="E44" s="28" t="str">
        <x:f>"CG70002"</x:f>
        <x:v>CG70002</x:v>
      </x:c>
      <x:c r="F44" s="22" t="str">
        <x:v>COMPRESSAS DE GAZE 7,5 X 7,5 11 FIOS ESTERIL - PCT/5 - BELA INDUS</x:v>
      </x:c>
      <x:c r="G44" s="22" t="str">
        <x:v>COMPRESSAS GAZE ESTERIL</x:v>
      </x:c>
      <x:c r="H44" s="22" t="str"/>
      <x:c r="I44" s="22" t="str">
        <x:v>7,5X7,5 | 11FIOS</x:v>
      </x:c>
      <x:c r="J44" s="22" t="str">
        <x:v>PCT/5 | PCT | CONTEUDO5 | FATOR5</x:v>
      </x:c>
      <x:c r="K44" s="22" t="str">
        <x:v>OUTRA</x:v>
      </x:c>
      <x:c r="L44" s="22" t="str">
        <x:v>BELA INDUS</x:v>
      </x:c>
      <x:c r="M44" s="28" t="str"/>
      <x:c r="N44" s="28" t="str">
        <x:f>"30059090"</x:f>
        <x:v>30059090</x:v>
      </x:c>
      <x:c r="O44" s="29" t="n">
        <x:v>0.55</x:v>
      </x:c>
      <x:c r="P44" s="29" t="n">
        <x:v>0.82</x:v>
      </x:c>
      <x:c r="Q44" s="28" t="str">
        <x:f>"339"</x:f>
        <x:v>339</x:v>
      </x:c>
      <x:c r="R44" s="28" t="str">
        <x:f>"CG70002"</x:f>
        <x:v>CG70002</x:v>
      </x:c>
      <x:c r="S44" s="22" t="str">
        <x:v>GTIN ausente ou invalido</x:v>
      </x:c>
      <x:c r="T44" s="22" t="str">
        <x:v>COMPRESSAS GAZE ESTERIL - 7,5X7,5 | 11FIOS - OUTRA - PCT/5 | PCT | CONTEUDO5 | FATOR5 - BELA INDUS</x:v>
      </x:c>
      <x:c r="U44" s="27" t="str"/>
      <x:c r="V44" s="27" t="str"/>
    </x:row>
    <x:row r="45">
      <x:c r="A45" s="28" t="str">
        <x:f>"G-112"</x:f>
        <x:v>G-112</x:v>
      </x:c>
      <x:c r="B45" s="22" t="str">
        <x:v>COMPRESSAS GAZE ESTERIL</x:v>
      </x:c>
      <x:c r="C45" s="22" t="str">
        <x:v>ALTO</x:v>
      </x:c>
      <x:c r="D45" s="22" t="str">
        <x:v>REVISAR GTIN repetido; não consolidar automaticamente</x:v>
      </x:c>
      <x:c r="E45" s="28" t="str">
        <x:f>"CG70006"</x:f>
        <x:v>CG70006</x:v>
      </x:c>
      <x:c r="F45" s="22" t="str">
        <x:v>COMPRESSAS DE GAZE 7,5 X 7,5 13 FIOS ESTERIL - PCT/05 - NEVE</x:v>
      </x:c>
      <x:c r="G45" s="22" t="str">
        <x:v>COMPRESSAS GAZE ESTERIL</x:v>
      </x:c>
      <x:c r="H45" s="22" t="str"/>
      <x:c r="I45" s="22" t="str">
        <x:v>7,5X7,5 | 13FIOS</x:v>
      </x:c>
      <x:c r="J45" s="22" t="str">
        <x:v>PCT/05 | PCT | CONTEUDO5 | FATOR5</x:v>
      </x:c>
      <x:c r="K45" s="22" t="str">
        <x:v>OUTRA</x:v>
      </x:c>
      <x:c r="L45" s="22" t="str">
        <x:v>NEVE</x:v>
      </x:c>
      <x:c r="M45" s="28" t="str">
        <x:f>"GTIN: 7898125712174"</x:f>
        <x:v>GTIN: 7898125712174</x:v>
      </x:c>
      <x:c r="N45" s="28" t="str">
        <x:f>"30059090"</x:f>
        <x:v>30059090</x:v>
      </x:c>
      <x:c r="O45" s="29" t="n">
        <x:v>0.4</x:v>
      </x:c>
      <x:c r="P45" s="29" t="n">
        <x:v>0.82</x:v>
      </x:c>
      <x:c r="Q45" s="28" t="str">
        <x:f>"341"</x:f>
        <x:v>341</x:v>
      </x:c>
      <x:c r="R45" s="28" t="str">
        <x:f>"CG70006"</x:f>
        <x:v>CG70006</x:v>
      </x:c>
      <x:c r="S45" s="22" t="str">
        <x:v>GTIN repetido em produtos distintos</x:v>
      </x:c>
      <x:c r="T45" s="22" t="str">
        <x:v>COMPRESSAS GAZE ESTERIL - 7,5X7,5 | 13FIOS - OUTRA - PCT/05 | PCT | CONTEUDO5 | FATOR5 - NEVE</x:v>
      </x:c>
      <x:c r="U45" s="27" t="str"/>
      <x:c r="V45" s="27" t="str"/>
    </x:row>
    <x:row r="46">
      <x:c r="A46" s="28" t="str">
        <x:f>"G-112"</x:f>
        <x:v>G-112</x:v>
      </x:c>
      <x:c r="B46" s="22" t="str">
        <x:v>COMPRESSAS GAZE ESTERIL</x:v>
      </x:c>
      <x:c r="C46" s="22" t="str">
        <x:v>ALTO</x:v>
      </x:c>
      <x:c r="D46" s="22" t="str">
        <x:v>REVISAR GTIN repetido; não consolidar automaticamente</x:v>
      </x:c>
      <x:c r="E46" s="28" t="str">
        <x:f>"CG70009"</x:f>
        <x:v>CG70009</x:v>
      </x:c>
      <x:c r="F46" s="22" t="str">
        <x:v>COMPRESSAS DE GAZE 7,5 X 7,5 13 FIOS ESTERIL - PCT/10 - FORTCLEAN</x:v>
      </x:c>
      <x:c r="G46" s="22" t="str">
        <x:v>COMPRESSAS GAZE ESTERIL</x:v>
      </x:c>
      <x:c r="H46" s="22" t="str"/>
      <x:c r="I46" s="22" t="str">
        <x:v>7,5X7,5 | 13FIOS</x:v>
      </x:c>
      <x:c r="J46" s="22" t="str">
        <x:v>PCT/10 | PCT | CONTEUDO10 | FATOR10</x:v>
      </x:c>
      <x:c r="K46" s="22" t="str">
        <x:v>OUTRA</x:v>
      </x:c>
      <x:c r="L46" s="22" t="str">
        <x:v>FORTCLEAN</x:v>
      </x:c>
      <x:c r="M46" s="28" t="str">
        <x:f>"GTIN: 7898125712174"</x:f>
        <x:v>GTIN: 7898125712174</x:v>
      </x:c>
      <x:c r="N46" s="28" t="str">
        <x:f>"30059090"</x:f>
        <x:v>30059090</x:v>
      </x:c>
      <x:c r="O46" s="29" t="n">
        <x:v>0.55</x:v>
      </x:c>
      <x:c r="P46" s="29" t="n">
        <x:v>0.82</x:v>
      </x:c>
      <x:c r="Q46" s="28" t="str">
        <x:f>"342"</x:f>
        <x:v>342</x:v>
      </x:c>
      <x:c r="R46" s="28" t="str">
        <x:f>"CG70009"</x:f>
        <x:v>CG70009</x:v>
      </x:c>
      <x:c r="S46" s="22" t="str">
        <x:v>GTIN repetido em produtos distintos</x:v>
      </x:c>
      <x:c r="T46" s="22" t="str">
        <x:v>COMPRESSAS GAZE ESTERIL - 7,5X7,5 | 13FIOS - OUTRA - PCT/10 | PCT | CONTEUDO10 | FATOR10 - FORTCLEAN</x:v>
      </x:c>
      <x:c r="U46" s="27" t="str"/>
      <x:c r="V46" s="27" t="str"/>
    </x:row>
    <x:row r="47">
      <x:c r="A47" s="28" t="str">
        <x:f>"G-112"</x:f>
        <x:v>G-112</x:v>
      </x:c>
      <x:c r="B47" s="22" t="str">
        <x:v>COMPRESSAS GAZE ESTERIL</x:v>
      </x:c>
      <x:c r="C47" s="22" t="str">
        <x:v>ALTO</x:v>
      </x:c>
      <x:c r="D47" s="22" t="str">
        <x:v>REVISAR GTIN repetido; não consolidar automaticamente</x:v>
      </x:c>
      <x:c r="E47" s="28" t="str">
        <x:f>"CG70001"</x:f>
        <x:v>CG70001</x:v>
      </x:c>
      <x:c r="F47" s="22" t="str">
        <x:v>COMPRESSAS DE GAZE 7,5 X 7,5 13 FIOS ESTERIL - PCT/10- AMED</x:v>
      </x:c>
      <x:c r="G47" s="22" t="str">
        <x:v>COMPRESSAS GAZE ESTERIL</x:v>
      </x:c>
      <x:c r="H47" s="22" t="str"/>
      <x:c r="I47" s="22" t="str">
        <x:v>7,5X7,5 | 13FIOS</x:v>
      </x:c>
      <x:c r="J47" s="22" t="str">
        <x:v>PCT/10 | PCT | CONTEUDO10 | FATOR10</x:v>
      </x:c>
      <x:c r="K47" s="22" t="str">
        <x:v>OUTRA</x:v>
      </x:c>
      <x:c r="L47" s="22" t="str">
        <x:v>AMED</x:v>
      </x:c>
      <x:c r="M47" s="28" t="str"/>
      <x:c r="N47" s="28" t="str">
        <x:f>"30059090"</x:f>
        <x:v>30059090</x:v>
      </x:c>
      <x:c r="O47" s="29" t="n">
        <x:v>0.55</x:v>
      </x:c>
      <x:c r="P47" s="29" t="n">
        <x:v>0.82</x:v>
      </x:c>
      <x:c r="Q47" s="28" t="str">
        <x:f>"343"</x:f>
        <x:v>343</x:v>
      </x:c>
      <x:c r="R47" s="28" t="str">
        <x:f>"CG70001"</x:f>
        <x:v>CG70001</x:v>
      </x:c>
      <x:c r="S47" s="22" t="str">
        <x:v>GTIN ausente ou invalido</x:v>
      </x:c>
      <x:c r="T47" s="22" t="str">
        <x:v>COMPRESSAS GAZE ESTERIL - 7,5X7,5 | 13FIOS - OUTRA - PCT/10 | PCT | CONTEUDO10 | FATOR10 - AMED</x:v>
      </x:c>
      <x:c r="U47" s="27" t="str"/>
      <x:c r="V47" s="27" t="str"/>
    </x:row>
    <x:row r="48">
      <x:c r="A48" s="28" t="str">
        <x:f>"G-250"</x:f>
        <x:v>G-250</x:v>
      </x:c>
      <x:c r="B48" s="22" t="str">
        <x:v>ROPIVACAINA</x:v>
      </x:c>
      <x:c r="C48" s="22" t="str">
        <x:v>ALTO</x:v>
      </x:c>
      <x:c r="D48" s="22" t="str">
        <x:v>REVISAR GTIN repetido; não consolidar automaticamente</x:v>
      </x:c>
      <x:c r="E48" s="28" t="str">
        <x:f>"R120003"</x:f>
        <x:v>R120003</x:v>
      </x:c>
      <x:c r="F48" s="22" t="str">
        <x:v>ROPIVACAINA 10MG/ML 20ML - CX/25 - TEUTO</x:v>
      </x:c>
      <x:c r="G48" s="22" t="str">
        <x:v>ROPIVACAINA</x:v>
      </x:c>
      <x:c r="H48" s="22" t="str">
        <x:v>10MG/ML | 10MG | 20ML</x:v>
      </x:c>
      <x:c r="I48" s="22" t="str"/>
      <x:c r="J48" s="22" t="str">
        <x:v>CX/25 | CX | CONTEUDO25 | FATOR25</x:v>
      </x:c>
      <x:c r="K48" s="22" t="str">
        <x:v>CAIXA</x:v>
      </x:c>
      <x:c r="L48" s="22" t="str">
        <x:v>TEUTO</x:v>
      </x:c>
      <x:c r="M48" s="28" t="str">
        <x:f>"GTIN: 7898122913864"</x:f>
        <x:v>GTIN: 7898122913864</x:v>
      </x:c>
      <x:c r="N48" s="28" t="str">
        <x:f>"30049069"</x:f>
        <x:v>30049069</x:v>
      </x:c>
      <x:c r="O48" s="29" t="n">
        <x:v>3</x:v>
      </x:c>
      <x:c r="P48" s="29" t="n">
        <x:v>11.88</x:v>
      </x:c>
      <x:c r="Q48" s="28" t="str">
        <x:f>"663"</x:f>
        <x:v>663</x:v>
      </x:c>
      <x:c r="R48" s="28" t="str">
        <x:f>"R120003"</x:f>
        <x:v>R120003</x:v>
      </x:c>
      <x:c r="S48" s="22" t="str"/>
      <x:c r="T48" s="22" t="str">
        <x:v>ROPIVACAINA - 10MG/ML | 10MG | 20ML - CAIXA - CX/25 | CX | CONTEUDO25 | FATOR25 - TEUTO</x:v>
      </x:c>
      <x:c r="U48" s="27" t="str"/>
      <x:c r="V48" s="27" t="str"/>
    </x:row>
    <x:row r="49">
      <x:c r="A49" s="28" t="str">
        <x:f>"G-250"</x:f>
        <x:v>G-250</x:v>
      </x:c>
      <x:c r="B49" s="22" t="str">
        <x:v>ROPIVACAINA</x:v>
      </x:c>
      <x:c r="C49" s="22" t="str">
        <x:v>ALTO</x:v>
      </x:c>
      <x:c r="D49" s="22" t="str">
        <x:v>REVISAR GTIN repetido; não consolidar automaticamente</x:v>
      </x:c>
      <x:c r="E49" s="28" t="str">
        <x:f>"R7C0006"</x:f>
        <x:v>R7C0006</x:v>
      </x:c>
      <x:c r="F49" s="22" t="str">
        <x:v>ROPIVACAINA 7,5MG/1ML CX/25 HYPOFARMA</x:v>
      </x:c>
      <x:c r="G49" s="22" t="str">
        <x:v>ROPIVACAINA</x:v>
      </x:c>
      <x:c r="H49" s="22" t="str">
        <x:v>7,5MG/1ML | 7,5MG | 1ML</x:v>
      </x:c>
      <x:c r="I49" s="22" t="str"/>
      <x:c r="J49" s="22" t="str">
        <x:v>CX/25 | CX | CONTEUDO25 | FATOR25</x:v>
      </x:c>
      <x:c r="K49" s="22" t="str">
        <x:v>CAIXA</x:v>
      </x:c>
      <x:c r="L49" s="22" t="str">
        <x:v>HYPOFARMA</x:v>
      </x:c>
      <x:c r="M49" s="28" t="str">
        <x:f>"GTIN: 7897406119817"</x:f>
        <x:v>GTIN: 7897406119817</x:v>
      </x:c>
      <x:c r="N49" s="28" t="str">
        <x:f>"30049069"</x:f>
        <x:v>30049069</x:v>
      </x:c>
      <x:c r="O49" s="29" t="n">
        <x:v>6.5</x:v>
      </x:c>
      <x:c r="P49" s="29" t="n">
        <x:v>9.77</x:v>
      </x:c>
      <x:c r="Q49" s="28" t="str">
        <x:f>"664"</x:f>
        <x:v>664</x:v>
      </x:c>
      <x:c r="R49" s="28" t="str">
        <x:f>"R7C0006"</x:f>
        <x:v>R7C0006</x:v>
      </x:c>
      <x:c r="S49" s="22" t="str">
        <x:v>GTIN repetido em produtos distintos</x:v>
      </x:c>
      <x:c r="T49" s="22" t="str">
        <x:v>ROPIVACAINA - 7,5MG/1ML | 7,5MG | 1ML - CAIXA - CX/25 | CX | CONTEUDO25 | FATOR25 - HYPOFARMA</x:v>
      </x:c>
      <x:c r="U49" s="27" t="str"/>
      <x:c r="V49" s="27" t="str"/>
    </x:row>
    <x:row r="50">
      <x:c r="A50" s="28" t="str">
        <x:f>"G-250"</x:f>
        <x:v>G-250</x:v>
      </x:c>
      <x:c r="B50" s="22" t="str">
        <x:v>ROPIVACAINA</x:v>
      </x:c>
      <x:c r="C50" s="22" t="str">
        <x:v>ALTO</x:v>
      </x:c>
      <x:c r="D50" s="22" t="str">
        <x:v>REVISAR GTIN repetido; não consolidar automaticamente</x:v>
      </x:c>
      <x:c r="E50" s="28" t="str">
        <x:f>"R7-0003"</x:f>
        <x:v>R7-0003</x:v>
      </x:c>
      <x:c r="F50" s="22" t="str">
        <x:v>ROPIVACAINA 7,5MG/20ML - CX/25 - HYPOFARMA</x:v>
      </x:c>
      <x:c r="G50" s="22" t="str">
        <x:v>ROPIVACAINA</x:v>
      </x:c>
      <x:c r="H50" s="22" t="str">
        <x:v>7,5MG/20ML | 7,5MG | 20ML</x:v>
      </x:c>
      <x:c r="I50" s="22" t="str"/>
      <x:c r="J50" s="22" t="str">
        <x:v>CX/25 | CX | CONTEUDO25 | FATOR25</x:v>
      </x:c>
      <x:c r="K50" s="22" t="str">
        <x:v>CAIXA</x:v>
      </x:c>
      <x:c r="L50" s="22" t="str">
        <x:v>HYPOFARMA</x:v>
      </x:c>
      <x:c r="M50" s="28" t="str">
        <x:f>"GTIN: 7898122913833"</x:f>
        <x:v>GTIN: 7898122913833</x:v>
      </x:c>
      <x:c r="N50" s="28" t="str">
        <x:f>"30049069"</x:f>
        <x:v>30049069</x:v>
      </x:c>
      <x:c r="O50" s="29" t="n">
        <x:v>6.5</x:v>
      </x:c>
      <x:c r="P50" s="29" t="n">
        <x:v>9.77</x:v>
      </x:c>
      <x:c r="Q50" s="28" t="str">
        <x:f>"665"</x:f>
        <x:v>665</x:v>
      </x:c>
      <x:c r="R50" s="28" t="str">
        <x:f>"R7-0003"</x:f>
        <x:v>R7-0003</x:v>
      </x:c>
      <x:c r="S50" s="22" t="str">
        <x:v>GTIN repetido em produtos distintos</x:v>
      </x:c>
      <x:c r="T50" s="22" t="str">
        <x:v>ROPIVACAINA - 7,5MG/20ML | 7,5MG | 20ML - CAIXA - CX/25 | CX | CONTEUDO25 | FATOR25 - HYPOFARMA</x:v>
      </x:c>
      <x:c r="U50" s="27" t="str"/>
      <x:c r="V50" s="27" t="str"/>
    </x:row>
    <x:row r="51">
      <x:c r="A51" s="28" t="str">
        <x:f>"G-250"</x:f>
        <x:v>G-250</x:v>
      </x:c>
      <x:c r="B51" s="22" t="str">
        <x:v>ROPIVACAINA</x:v>
      </x:c>
      <x:c r="C51" s="22" t="str">
        <x:v>ALTO</x:v>
      </x:c>
      <x:c r="D51" s="22" t="str">
        <x:v>REVISAR GTIN repetido; não consolidar automaticamente</x:v>
      </x:c>
      <x:c r="E51" s="28" t="str">
        <x:f>"R7C0005"</x:f>
        <x:v>R7C0005</x:v>
      </x:c>
      <x:c r="F51" s="22" t="str">
        <x:v>ROPIVACAINA 7,5MG/20ML - CX/25 - HYPOLAB</x:v>
      </x:c>
      <x:c r="G51" s="22" t="str">
        <x:v>ROPIVACAINA</x:v>
      </x:c>
      <x:c r="H51" s="22" t="str">
        <x:v>7,5MG/20ML | 7,5MG | 20ML</x:v>
      </x:c>
      <x:c r="I51" s="22" t="str"/>
      <x:c r="J51" s="22" t="str">
        <x:v>CX/25 | CX | CONTEUDO25 | FATOR25</x:v>
      </x:c>
      <x:c r="K51" s="22" t="str">
        <x:v>CAIXA</x:v>
      </x:c>
      <x:c r="L51" s="22" t="str">
        <x:v>HYPOLAB</x:v>
      </x:c>
      <x:c r="M51" s="28" t="str">
        <x:f>"GTIN: 7898122913833"</x:f>
        <x:v>GTIN: 7898122913833</x:v>
      </x:c>
      <x:c r="N51" s="28" t="str">
        <x:f>"30049069"</x:f>
        <x:v>30049069</x:v>
      </x:c>
      <x:c r="O51" s="29" t="n">
        <x:v>3</x:v>
      </x:c>
      <x:c r="P51" s="29" t="n">
        <x:v>9.77</x:v>
      </x:c>
      <x:c r="Q51" s="28" t="str">
        <x:f>"666 | 667"</x:f>
        <x:v>666 | 667</x:v>
      </x:c>
      <x:c r="R51" s="28" t="str">
        <x:f>"R7C0005 | R7C0004"</x:f>
        <x:v>R7C0005 | R7C0004</x:v>
      </x:c>
      <x:c r="S51" s="22" t="str">
        <x:v>varios codigos legados consolidados em um produto; GTIN repetido em produtos distintos; custo divergente entre lotes</x:v>
      </x:c>
      <x:c r="T51" s="22" t="str">
        <x:v>ROPIVACAINA - 7,5MG/20ML | 7,5MG | 20ML - CAIXA - CX/25 | CX | CONTEUDO25 | FATOR25 - HYPOLAB</x:v>
      </x:c>
      <x:c r="U51" s="27" t="str"/>
      <x:c r="V51" s="27" t="str"/>
    </x:row>
    <x:row r="52">
      <x:c r="A52" s="28" t="str">
        <x:f>"G-250"</x:f>
        <x:v>G-250</x:v>
      </x:c>
      <x:c r="B52" s="22" t="str">
        <x:v>ROPIVACAINA</x:v>
      </x:c>
      <x:c r="C52" s="22" t="str">
        <x:v>ALTO</x:v>
      </x:c>
      <x:c r="D52" s="22" t="str">
        <x:v>REVISAR GTIN repetido; não consolidar automaticamente</x:v>
      </x:c>
      <x:c r="E52" s="28" t="str">
        <x:f>"R7C0008"</x:f>
        <x:v>R7C0008</x:v>
      </x:c>
      <x:c r="F52" s="22" t="str">
        <x:v>ROPIVACAINA 7,5MG/20ML CX/25 - TEUTO</x:v>
      </x:c>
      <x:c r="G52" s="22" t="str">
        <x:v>ROPIVACAINA</x:v>
      </x:c>
      <x:c r="H52" s="22" t="str">
        <x:v>7,5MG/20ML | 7,5MG | 20ML</x:v>
      </x:c>
      <x:c r="I52" s="22" t="str"/>
      <x:c r="J52" s="22" t="str">
        <x:v>CX/25 | CX | CONTEUDO25 | FATOR25</x:v>
      </x:c>
      <x:c r="K52" s="22" t="str">
        <x:v>CAIXA</x:v>
      </x:c>
      <x:c r="L52" s="22" t="str">
        <x:v>TEUTO</x:v>
      </x:c>
      <x:c r="M52" s="28" t="str">
        <x:f>"GTIN: 7897406119817"</x:f>
        <x:v>GTIN: 7897406119817</x:v>
      </x:c>
      <x:c r="N52" s="28" t="str">
        <x:f>"30049069"</x:f>
        <x:v>30049069</x:v>
      </x:c>
      <x:c r="O52" s="29" t="n">
        <x:v>3</x:v>
      </x:c>
      <x:c r="P52" s="29" t="n">
        <x:v>9.77</x:v>
      </x:c>
      <x:c r="Q52" s="28" t="str">
        <x:f>"668"</x:f>
        <x:v>668</x:v>
      </x:c>
      <x:c r="R52" s="28" t="str">
        <x:f>"R7C0008"</x:f>
        <x:v>R7C0008</x:v>
      </x:c>
      <x:c r="S52" s="22" t="str">
        <x:v>GTIN repetido em produtos distintos</x:v>
      </x:c>
      <x:c r="T52" s="22" t="str">
        <x:v>ROPIVACAINA - 7,5MG/20ML | 7,5MG | 20ML - CAIXA - CX/25 | CX | CONTEUDO25 | FATOR25 - TEUTO</x:v>
      </x:c>
      <x:c r="U52" s="27" t="str"/>
      <x:c r="V52" s="27" t="str"/>
    </x:row>
    <x:row r="53">
      <x:c r="A53" s="28" t="str">
        <x:f>"G-001"</x:f>
        <x:v>G-001</x:v>
      </x:c>
      <x:c r="B53" s="22" t="str">
        <x:v>ACIDO TRANEXAMICO</x:v>
      </x:c>
      <x:c r="C53" s="22" t="str">
        <x:v>ALTO</x:v>
      </x:c>
      <x:c r="D53" s="22" t="str">
        <x:v>REVISAR GTIN repetido; não consolidar automaticamente</x:v>
      </x:c>
      <x:c r="E53" s="28" t="str">
        <x:f>"AT50006"</x:f>
        <x:v>AT50006</x:v>
      </x:c>
      <x:c r="F53" s="22" t="str">
        <x:v>ACIDO TRANEXAMICO 250MG/5ML - CX/50 - ZYDUS</x:v>
      </x:c>
      <x:c r="G53" s="22" t="str">
        <x:v>ACIDO TRANEXAMICO</x:v>
      </x:c>
      <x:c r="H53" s="22" t="str">
        <x:v>250MG/5ML | 250MG | 5ML</x:v>
      </x:c>
      <x:c r="I53" s="22" t="str"/>
      <x:c r="J53" s="22" t="str">
        <x:v>CX/50 | CX | CONTEUDO50 | FATOR50</x:v>
      </x:c>
      <x:c r="K53" s="22" t="str">
        <x:v>CAIXA</x:v>
      </x:c>
      <x:c r="L53" s="22" t="str">
        <x:v>ZYDUS</x:v>
      </x:c>
      <x:c r="M53" s="28" t="str">
        <x:f>"GTIN: 7897460400364"</x:f>
        <x:v>GTIN: 7897460400364</x:v>
      </x:c>
      <x:c r="N53" s="28" t="str">
        <x:f>"30049039"</x:f>
        <x:v>30049039</x:v>
      </x:c>
      <x:c r="O53" s="29" t="n">
        <x:v>2.5</x:v>
      </x:c>
      <x:c r="P53" s="29" t="n">
        <x:v>7.04</x:v>
      </x:c>
      <x:c r="Q53" s="28" t="str">
        <x:f>"2"</x:f>
        <x:v>2</x:v>
      </x:c>
      <x:c r="R53" s="28" t="str">
        <x:f>"AT50006"</x:f>
        <x:v>AT50006</x:v>
      </x:c>
      <x:c r="S53" s="22" t="str">
        <x:v>GTIN repetido em produtos distintos</x:v>
      </x:c>
      <x:c r="T53" s="22" t="str">
        <x:v>ACIDO TRANEXAMICO - 250MG/5ML | 250MG | 5ML - CAIXA - CX/50 | CX | CONTEUDO50 | FATOR50 - ZYDUS</x:v>
      </x:c>
      <x:c r="U53" s="27" t="str"/>
      <x:c r="V53" s="27" t="str"/>
    </x:row>
    <x:row r="54">
      <x:c r="A54" s="28" t="str">
        <x:f>"G-001"</x:f>
        <x:v>G-001</x:v>
      </x:c>
      <x:c r="B54" s="22" t="str">
        <x:v>ACIDO TRANEXAMICO</x:v>
      </x:c>
      <x:c r="C54" s="22" t="str">
        <x:v>ALTO</x:v>
      </x:c>
      <x:c r="D54" s="22" t="str">
        <x:v>REVISAR GTIN repetido; não consolidar automaticamente</x:v>
      </x:c>
      <x:c r="E54" s="28" t="str">
        <x:f>"AT50005"</x:f>
        <x:v>AT50005</x:v>
      </x:c>
      <x:c r="F54" s="22" t="str">
        <x:v>ACIDO TRANEXAMICO 50MG/5ML - CX/100 - HIPOLABOR (TRANSAMIN)</x:v>
      </x:c>
      <x:c r="G54" s="22" t="str">
        <x:v>ACIDO TRANEXAMICO</x:v>
      </x:c>
      <x:c r="H54" s="22" t="str">
        <x:v>50MG/5ML | 50MG | 5ML</x:v>
      </x:c>
      <x:c r="I54" s="22" t="str"/>
      <x:c r="J54" s="22" t="str">
        <x:v>CX/100 | CX | CONTEUDO100 | FATOR100</x:v>
      </x:c>
      <x:c r="K54" s="22" t="str">
        <x:v>CAIXA</x:v>
      </x:c>
      <x:c r="L54" s="22" t="str">
        <x:v>HIPOLABOR</x:v>
      </x:c>
      <x:c r="M54" s="28" t="str">
        <x:f>"GTIN: 7897460400364"</x:f>
        <x:v>GTIN: 7897460400364</x:v>
      </x:c>
      <x:c r="N54" s="28" t="str">
        <x:f>"30049039"</x:f>
        <x:v>30049039</x:v>
      </x:c>
      <x:c r="O54" s="29" t="n">
        <x:v>2.5</x:v>
      </x:c>
      <x:c r="P54" s="29" t="n">
        <x:v>7.04</x:v>
      </x:c>
      <x:c r="Q54" s="28" t="str">
        <x:f>"3"</x:f>
        <x:v>3</x:v>
      </x:c>
      <x:c r="R54" s="28" t="str">
        <x:f>"AT50005"</x:f>
        <x:v>AT50005</x:v>
      </x:c>
      <x:c r="S54" s="22" t="str">
        <x:v>GTIN repetido em produtos distintos</x:v>
      </x:c>
      <x:c r="T54" s="22" t="str">
        <x:v>ACIDO TRANEXAMICO - 50MG/5ML | 50MG | 5ML - CAIXA - CX/100 | CX | CONTEUDO100 | FATOR100 - HIPOLABOR</x:v>
      </x:c>
      <x:c r="U54" s="27" t="str"/>
      <x:c r="V54" s="27" t="str"/>
    </x:row>
    <x:row r="55">
      <x:c r="A55" s="28" t="str">
        <x:f>"G-001"</x:f>
        <x:v>G-001</x:v>
      </x:c>
      <x:c r="B55" s="22" t="str">
        <x:v>ACIDO TRANEXAMICO</x:v>
      </x:c>
      <x:c r="C55" s="22" t="str">
        <x:v>ALTO</x:v>
      </x:c>
      <x:c r="D55" s="22" t="str">
        <x:v>REVISAR GTIN repetido; não consolidar automaticamente</x:v>
      </x:c>
      <x:c r="E55" s="28" t="str">
        <x:f>"AT50011"</x:f>
        <x:v>AT50011</x:v>
      </x:c>
      <x:c r="F55" s="22" t="str">
        <x:v>ACIDO TRANEXAMICO 50MG/5ML - CX/5 - ZIDUS (TRANSAMIN)</x:v>
      </x:c>
      <x:c r="G55" s="22" t="str">
        <x:v>ACIDO TRANEXAMICO</x:v>
      </x:c>
      <x:c r="H55" s="22" t="str">
        <x:v>50MG/5ML | 50MG | 5ML</x:v>
      </x:c>
      <x:c r="I55" s="22" t="str"/>
      <x:c r="J55" s="22" t="str">
        <x:v>CX/5 | CX | CONTEUDO5 | FATOR5</x:v>
      </x:c>
      <x:c r="K55" s="22" t="str">
        <x:v>CAIXA</x:v>
      </x:c>
      <x:c r="L55" s="22" t="str">
        <x:v>ZIDUS</x:v>
      </x:c>
      <x:c r="M55" s="28" t="str">
        <x:f>"GTIN: 7897460400364"</x:f>
        <x:v>GTIN: 7897460400364</x:v>
      </x:c>
      <x:c r="N55" s="28" t="str">
        <x:f>"30049039"</x:f>
        <x:v>30049039</x:v>
      </x:c>
      <x:c r="O55" s="29" t="n">
        <x:v>2.5</x:v>
      </x:c>
      <x:c r="P55" s="29" t="n">
        <x:v>7.04</x:v>
      </x:c>
      <x:c r="Q55" s="28" t="str">
        <x:f>"4 | 5"</x:f>
        <x:v>4 | 5</x:v>
      </x:c>
      <x:c r="R55" s="28" t="str">
        <x:f>"AT50011 | AT50002"</x:f>
        <x:v>AT50011 | AT50002</x:v>
      </x:c>
      <x:c r="S55" s="22" t="str">
        <x:v>varios codigos legados consolidados em um produto; GTIN repetido em produtos distintos</x:v>
      </x:c>
      <x:c r="T55" s="22" t="str">
        <x:v>ACIDO TRANEXAMICO - 50MG/5ML | 50MG | 5ML - CAIXA - CX/5 | CX | CONTEUDO5 | FATOR5 - ZIDUS</x:v>
      </x:c>
      <x:c r="U55" s="27" t="str"/>
      <x:c r="V55" s="27" t="str"/>
    </x:row>
    <x:row r="56">
      <x:c r="A56" s="28" t="str">
        <x:f>"G-001"</x:f>
        <x:v>G-001</x:v>
      </x:c>
      <x:c r="B56" s="22" t="str">
        <x:v>ACIDO TRANEXAMICO</x:v>
      </x:c>
      <x:c r="C56" s="22" t="str">
        <x:v>ALTO</x:v>
      </x:c>
      <x:c r="D56" s="22" t="str">
        <x:v>REVISAR GTIN repetido; não consolidar automaticamente</x:v>
      </x:c>
      <x:c r="E56" s="28" t="str">
        <x:f>"AT50004"</x:f>
        <x:v>AT50004</x:v>
      </x:c>
      <x:c r="F56" s="22" t="str">
        <x:v>ACIDO TRANEXAMICO 50MG/5ML - CX/50 - BLAU (TRANSAMIN)</x:v>
      </x:c>
      <x:c r="G56" s="22" t="str">
        <x:v>ACIDO TRANEXAMICO</x:v>
      </x:c>
      <x:c r="H56" s="22" t="str">
        <x:v>50MG/5ML | 50MG | 5ML</x:v>
      </x:c>
      <x:c r="I56" s="22" t="str"/>
      <x:c r="J56" s="22" t="str">
        <x:v>CX/50 | CX | CONTEUDO50 | FATOR50</x:v>
      </x:c>
      <x:c r="K56" s="22" t="str">
        <x:v>CAIXA</x:v>
      </x:c>
      <x:c r="L56" s="22" t="str">
        <x:v>BLAU</x:v>
      </x:c>
      <x:c r="M56" s="28" t="str">
        <x:f>"GTIN: 7897460400364"</x:f>
        <x:v>GTIN: 7897460400364</x:v>
      </x:c>
      <x:c r="N56" s="28" t="str">
        <x:f>"30049039"</x:f>
        <x:v>30049039</x:v>
      </x:c>
      <x:c r="O56" s="29" t="n">
        <x:v>2.5</x:v>
      </x:c>
      <x:c r="P56" s="29" t="n">
        <x:v>7.04</x:v>
      </x:c>
      <x:c r="Q56" s="28" t="str">
        <x:f>"6 | 7 | 8"</x:f>
        <x:v>6 | 7 | 8</x:v>
      </x:c>
      <x:c r="R56" s="28" t="str">
        <x:f>"AT50001 | AT50003 | AT50004"</x:f>
        <x:v>AT50001 | AT50003 | AT50004</x:v>
      </x:c>
      <x:c r="S56" s="22" t="str">
        <x:v>varios codigos legados consolidados em um produto; GTIN repetido em produtos distintos; unidade/embalagem divergente</x:v>
      </x:c>
      <x:c r="T56" s="22" t="str">
        <x:v>ACIDO TRANEXAMICO - 50MG/5ML | 50MG | 5ML - CAIXA - CX/50 | CX | CONTEUDO50 | FATOR50 - BLAU</x:v>
      </x:c>
      <x:c r="U56" s="27" t="str"/>
      <x:c r="V56" s="27" t="str"/>
    </x:row>
    <x:row r="57">
      <x:c r="A57" s="28" t="str">
        <x:f>"G-069"</x:f>
        <x:v>G-069</x:v>
      </x:c>
      <x:c r="B57" s="22" t="str">
        <x:v>CITRATO FENTANILA</x:v>
      </x:c>
      <x:c r="C57" s="22" t="str">
        <x:v>ALTO</x:v>
      </x:c>
      <x:c r="D57" s="22" t="str">
        <x:v>REVISAR GTIN repetido; não consolidar automaticamente</x:v>
      </x:c>
      <x:c r="E57" s="28" t="str">
        <x:f>"CF10001"</x:f>
        <x:v>CF10001</x:v>
      </x:c>
      <x:c r="F57" s="22" t="str">
        <x:v>CITRATO DE FENTANILA 0,05MG/ML 2ML AP - CX/25 - CRISTÁLIA</x:v>
      </x:c>
      <x:c r="G57" s="22" t="str">
        <x:v>CITRATO FENTANILA</x:v>
      </x:c>
      <x:c r="H57" s="22" t="str">
        <x:v>0,05MG/ML | 0,05MG | 2ML</x:v>
      </x:c>
      <x:c r="I57" s="22" t="str"/>
      <x:c r="J57" s="22" t="str">
        <x:v>AP | CX/25 | CX | CONTEUDO25 | FATOR25</x:v>
      </x:c>
      <x:c r="K57" s="22" t="str">
        <x:v>CAIXA</x:v>
      </x:c>
      <x:c r="L57" s="22" t="str">
        <x:v>CRISTÁLIA</x:v>
      </x:c>
      <x:c r="M57" s="28" t="str">
        <x:f>"GTIN: 7896676437850"</x:f>
        <x:v>GTIN: 7896676437850</x:v>
      </x:c>
      <x:c r="N57" s="28" t="str">
        <x:f>"29333363"</x:f>
        <x:v>29333363</x:v>
      </x:c>
      <x:c r="O57" s="29" t="n">
        <x:v>2.5</x:v>
      </x:c>
      <x:c r="P57" s="29" t="n">
        <x:v>3.84</x:v>
      </x:c>
      <x:c r="Q57" s="28" t="str">
        <x:f>"179"</x:f>
        <x:v>179</x:v>
      </x:c>
      <x:c r="R57" s="28" t="str">
        <x:f>"CF10001"</x:f>
        <x:v>CF10001</x:v>
      </x:c>
      <x:c r="S57" s="22" t="str">
        <x:v>GTIN repetido em produtos distintos</x:v>
      </x:c>
      <x:c r="T57" s="22" t="str">
        <x:v>CITRATO FENTANILA - 0,05MG/ML | 0,05MG | 2ML - CAIXA - AP | CX/25 | CX | CONTEUDO25 | FATOR25 - CRISTÁLIA</x:v>
      </x:c>
      <x:c r="U57" s="27" t="str"/>
      <x:c r="V57" s="27" t="str"/>
    </x:row>
    <x:row r="58">
      <x:c r="A58" s="28" t="str">
        <x:f>"G-069"</x:f>
        <x:v>G-069</x:v>
      </x:c>
      <x:c r="B58" s="22" t="str">
        <x:v>CITRATO FENTANILA</x:v>
      </x:c>
      <x:c r="C58" s="22" t="str">
        <x:v>ALTO</x:v>
      </x:c>
      <x:c r="D58" s="22" t="str">
        <x:v>REVISAR GTIN repetido; não consolidar automaticamente</x:v>
      </x:c>
      <x:c r="E58" s="28" t="str">
        <x:f>"CF10002"</x:f>
        <x:v>CF10002</x:v>
      </x:c>
      <x:c r="F58" s="22" t="str">
        <x:v>CITRATO DE FENTANILA 0,05MG/ML 2ML AP CX/25 - HIPOLABOR</x:v>
      </x:c>
      <x:c r="G58" s="22" t="str">
        <x:v>CITRATO FENTANILA</x:v>
      </x:c>
      <x:c r="H58" s="22" t="str">
        <x:v>0,05MG/ML | 0,05MG | 2ML</x:v>
      </x:c>
      <x:c r="I58" s="22" t="str"/>
      <x:c r="J58" s="22" t="str">
        <x:v>AP | CX/25 | CX | CONTEUDO25 | FATOR25</x:v>
      </x:c>
      <x:c r="K58" s="22" t="str">
        <x:v>CAIXA</x:v>
      </x:c>
      <x:c r="L58" s="22" t="str">
        <x:v>HIPOLABOR</x:v>
      </x:c>
      <x:c r="M58" s="28" t="str">
        <x:f>"GTIN: 7896676437850"</x:f>
        <x:v>GTIN: 7896676437850</x:v>
      </x:c>
      <x:c r="N58" s="28" t="str">
        <x:f>"29333363"</x:f>
        <x:v>29333363</x:v>
      </x:c>
      <x:c r="O58" s="29" t="n">
        <x:v>2.5</x:v>
      </x:c>
      <x:c r="P58" s="29" t="n">
        <x:v>3.75</x:v>
      </x:c>
      <x:c r="Q58" s="28" t="str">
        <x:f>"180 | 181"</x:f>
        <x:v>180 | 181</x:v>
      </x:c>
      <x:c r="R58" s="28" t="str">
        <x:f>"CF10002 | CF00001"</x:f>
        <x:v>CF10002 | CF00001</x:v>
      </x:c>
      <x:c r="S58" s="22" t="str">
        <x:v>varios codigos legados consolidados em um produto; GTIN repetido em produtos distintos</x:v>
      </x:c>
      <x:c r="T58" s="22" t="str">
        <x:v>CITRATO FENTANILA - 0,05MG/ML | 0,05MG | 2ML - CAIXA - AP | CX/25 | CX | CONTEUDO25 | FATOR25 - HIPOLABOR</x:v>
      </x:c>
      <x:c r="U58" s="27" t="str"/>
      <x:c r="V58" s="27" t="str"/>
    </x:row>
    <x:row r="59">
      <x:c r="A59" s="28" t="str">
        <x:f>"G-069"</x:f>
        <x:v>G-069</x:v>
      </x:c>
      <x:c r="B59" s="22" t="str">
        <x:v>CITRATO FENTANILA</x:v>
      </x:c>
      <x:c r="C59" s="22" t="str">
        <x:v>ALTO</x:v>
      </x:c>
      <x:c r="D59" s="22" t="str">
        <x:v>REVISAR GTIN repetido; não consolidar automaticamente</x:v>
      </x:c>
      <x:c r="E59" s="28" t="str">
        <x:f>"CF00002"</x:f>
        <x:v>CF00002</x:v>
      </x:c>
      <x:c r="F59" s="22" t="str">
        <x:v>CITRATO DE FENTANILA 0,05MG/ML 2ML AP CX/50 - HIPOLABOR</x:v>
      </x:c>
      <x:c r="G59" s="22" t="str">
        <x:v>CITRATO FENTANILA</x:v>
      </x:c>
      <x:c r="H59" s="22" t="str">
        <x:v>0,05MG/ML | 0,05MG | 2ML</x:v>
      </x:c>
      <x:c r="I59" s="22" t="str"/>
      <x:c r="J59" s="22" t="str">
        <x:v>AP | CX/50 | CX | CONTEUDO50 | FATOR50</x:v>
      </x:c>
      <x:c r="K59" s="22" t="str">
        <x:v>CAIXA</x:v>
      </x:c>
      <x:c r="L59" s="22" t="str">
        <x:v>HIPOLABOR</x:v>
      </x:c>
      <x:c r="M59" s="28" t="str"/>
      <x:c r="N59" s="28" t="str">
        <x:f>"29333363"</x:f>
        <x:v>29333363</x:v>
      </x:c>
      <x:c r="O59" s="29" t="n">
        <x:v>2.5</x:v>
      </x:c>
      <x:c r="P59" s="29" t="n">
        <x:v>3.75</x:v>
      </x:c>
      <x:c r="Q59" s="28" t="str">
        <x:f>"182"</x:f>
        <x:v>182</x:v>
      </x:c>
      <x:c r="R59" s="28" t="str">
        <x:f>"CF00002"</x:f>
        <x:v>CF00002</x:v>
      </x:c>
      <x:c r="S59" s="22" t="str">
        <x:v>GTIN ausente ou invalido</x:v>
      </x:c>
      <x:c r="T59" s="22" t="str">
        <x:v>CITRATO FENTANILA - 0,05MG/ML | 0,05MG | 2ML - CAIXA - AP | CX/50 | CX | CONTEUDO50 | FATOR50 - HIPOLABOR</x:v>
      </x:c>
      <x:c r="U59" s="27" t="str"/>
      <x:c r="V59" s="27" t="str"/>
    </x:row>
    <x:row r="60">
      <x:c r="A60" s="28" t="str">
        <x:f>"G-069"</x:f>
        <x:v>G-069</x:v>
      </x:c>
      <x:c r="B60" s="22" t="str">
        <x:v>CITRATO FENTANILA</x:v>
      </x:c>
      <x:c r="C60" s="22" t="str">
        <x:v>ALTO</x:v>
      </x:c>
      <x:c r="D60" s="22" t="str">
        <x:v>REVISAR GTIN repetido; não consolidar automaticamente</x:v>
      </x:c>
      <x:c r="E60" s="28" t="str">
        <x:f>"CF10014"</x:f>
        <x:v>CF10014</x:v>
      </x:c>
      <x:c r="F60" s="22" t="str">
        <x:v>CITRATO DE FENTANILA 10ML/0,05MG - CX/25 - UNIÃO QUÍMICA</x:v>
      </x:c>
      <x:c r="G60" s="22" t="str">
        <x:v>CITRATO FENTANILA</x:v>
      </x:c>
      <x:c r="H60" s="22" t="str">
        <x:v>0,05MG | 10ML</x:v>
      </x:c>
      <x:c r="I60" s="22" t="str"/>
      <x:c r="J60" s="22" t="str">
        <x:v>CX/25 | CX | CONTEUDO25 | FATOR25</x:v>
      </x:c>
      <x:c r="K60" s="22" t="str">
        <x:v>CAIXA</x:v>
      </x:c>
      <x:c r="L60" s="22" t="str">
        <x:v>UNIÃO QUÍMICA</x:v>
      </x:c>
      <x:c r="M60" s="28" t="str">
        <x:f>"GTIN: 7896676437850"</x:f>
        <x:v>GTIN: 7896676437850</x:v>
      </x:c>
      <x:c r="N60" s="28" t="str">
        <x:f>"29333363"</x:f>
        <x:v>29333363</x:v>
      </x:c>
      <x:c r="O60" s="29" t="n">
        <x:v>2.5</x:v>
      </x:c>
      <x:c r="P60" s="29" t="n">
        <x:v>3.75</x:v>
      </x:c>
      <x:c r="Q60" s="28" t="str">
        <x:f>"183"</x:f>
        <x:v>183</x:v>
      </x:c>
      <x:c r="R60" s="28" t="str">
        <x:f>"CF10014"</x:f>
        <x:v>CF10014</x:v>
      </x:c>
      <x:c r="S60" s="22" t="str">
        <x:v>GTIN repetido em produtos distintos</x:v>
      </x:c>
      <x:c r="T60" s="22" t="str">
        <x:v>CITRATO FENTANILA - 0,05MG | 10ML - CAIXA - CX/25 | CX | CONTEUDO25 | FATOR25 - UNIÃO QUÍMICA</x:v>
      </x:c>
      <x:c r="U60" s="27" t="str"/>
      <x:c r="V60" s="27" t="str"/>
    </x:row>
    <x:row r="61">
      <x:c r="A61" s="28" t="str">
        <x:f>"G-247"</x:f>
        <x:v>G-247</x:v>
      </x:c>
      <x:c r="B61" s="22" t="str">
        <x:v>PROPOFOL</x:v>
      </x:c>
      <x:c r="C61" s="22" t="str">
        <x:v>ALTO</x:v>
      </x:c>
      <x:c r="D61" s="22" t="str">
        <x:v>REVISAR GTIN repetido; não consolidar automaticamente</x:v>
      </x:c>
      <x:c r="E61" s="28" t="str">
        <x:f>"P110001"</x:f>
        <x:v>P110001</x:v>
      </x:c>
      <x:c r="F61" s="22" t="str">
        <x:v>PROPOFOL 1% 10MG/ML 20ML - CX/10 - CRISTÁLIA</x:v>
      </x:c>
      <x:c r="G61" s="22" t="str">
        <x:v>PROPOFOL %</x:v>
      </x:c>
      <x:c r="H61" s="22" t="str">
        <x:v>10MG/ML | 10MG | 20ML</x:v>
      </x:c>
      <x:c r="I61" s="22" t="str"/>
      <x:c r="J61" s="22" t="str">
        <x:v>CX/10 | CX | CONTEUDO10 | FATOR10</x:v>
      </x:c>
      <x:c r="K61" s="22" t="str">
        <x:v>CAIXA</x:v>
      </x:c>
      <x:c r="L61" s="22" t="str">
        <x:v>CRISTÁLIA</x:v>
      </x:c>
      <x:c r="M61" s="28" t="str">
        <x:f>"GTIN: 8907730022574"</x:f>
        <x:v>GTIN: 8907730022574</x:v>
      </x:c>
      <x:c r="N61" s="28" t="str">
        <x:f>"30039095"</x:f>
        <x:v>30039095</x:v>
      </x:c>
      <x:c r="O61" s="29" t="n">
        <x:v>6</x:v>
      </x:c>
      <x:c r="P61" s="29" t="n">
        <x:v>8.9</x:v>
      </x:c>
      <x:c r="Q61" s="28" t="str">
        <x:f>"653"</x:f>
        <x:v>653</x:v>
      </x:c>
      <x:c r="R61" s="28" t="str">
        <x:f>"P110001"</x:f>
        <x:v>P110001</x:v>
      </x:c>
      <x:c r="S61" s="22" t="str">
        <x:v>GTIN repetido em produtos distintos</x:v>
      </x:c>
      <x:c r="T61" s="22" t="str">
        <x:v>PROPOFOL % - 10MG/ML | 10MG | 20ML - CAIXA - CX/10 | CX | CONTEUDO10 | FATOR10 - CRISTÁLIA</x:v>
      </x:c>
      <x:c r="U61" s="27" t="str"/>
      <x:c r="V61" s="27" t="str"/>
    </x:row>
    <x:row r="62">
      <x:c r="A62" s="28" t="str">
        <x:f>"G-247"</x:f>
        <x:v>G-247</x:v>
      </x:c>
      <x:c r="B62" s="22" t="str">
        <x:v>PROPOFOL</x:v>
      </x:c>
      <x:c r="C62" s="22" t="str">
        <x:v>ALTO</x:v>
      </x:c>
      <x:c r="D62" s="22" t="str">
        <x:v>REVISAR GTIN repetido; não consolidar automaticamente</x:v>
      </x:c>
      <x:c r="E62" s="28" t="str">
        <x:f>"P110008"</x:f>
        <x:v>P110008</x:v>
      </x:c>
      <x:c r="F62" s="22" t="str">
        <x:v>PROPOFOL 1% 10MG/ML 20ML - CX/5 - BAXTER</x:v>
      </x:c>
      <x:c r="G62" s="22" t="str">
        <x:v>PROPOFOL %</x:v>
      </x:c>
      <x:c r="H62" s="22" t="str">
        <x:v>10MG/ML | 10MG | 20ML</x:v>
      </x:c>
      <x:c r="I62" s="22" t="str"/>
      <x:c r="J62" s="22" t="str">
        <x:v>CX/5 | CX | CONTEUDO5 | FATOR5</x:v>
      </x:c>
      <x:c r="K62" s="22" t="str">
        <x:v>CAIXA</x:v>
      </x:c>
      <x:c r="L62" s="22" t="str">
        <x:v>BAXTER</x:v>
      </x:c>
      <x:c r="M62" s="28" t="str">
        <x:f>"GTIN: 8907730022574"</x:f>
        <x:v>GTIN: 8907730022574</x:v>
      </x:c>
      <x:c r="N62" s="28" t="str">
        <x:f>"30039095"</x:f>
        <x:v>30039095</x:v>
      </x:c>
      <x:c r="O62" s="29" t="n">
        <x:v>6</x:v>
      </x:c>
      <x:c r="P62" s="29" t="n">
        <x:v>8.9</x:v>
      </x:c>
      <x:c r="Q62" s="28" t="str">
        <x:f>"654 | 655"</x:f>
        <x:v>654 | 655</x:v>
      </x:c>
      <x:c r="R62" s="28" t="str">
        <x:f>"P110002 | P110008"</x:f>
        <x:v>P110002 | P110008</x:v>
      </x:c>
      <x:c r="S62" s="22" t="str">
        <x:v>varios codigos legados consolidados em um produto; GTIN repetido em produtos distintos</x:v>
      </x:c>
      <x:c r="T62" s="22" t="str">
        <x:v>PROPOFOL % - 10MG/ML | 10MG | 20ML - CAIXA - CX/5 | CX | CONTEUDO5 | FATOR5 - BAXTER</x:v>
      </x:c>
      <x:c r="U62" s="27" t="str"/>
      <x:c r="V62" s="27" t="str"/>
    </x:row>
    <x:row r="63">
      <x:c r="A63" s="28" t="str">
        <x:f>"G-247"</x:f>
        <x:v>G-247</x:v>
      </x:c>
      <x:c r="B63" s="22" t="str">
        <x:v>PROPOFOL</x:v>
      </x:c>
      <x:c r="C63" s="22" t="str">
        <x:v>ALTO</x:v>
      </x:c>
      <x:c r="D63" s="22" t="str">
        <x:v>REVISAR GTIN repetido; não consolidar automaticamente</x:v>
      </x:c>
      <x:c r="E63" s="28" t="str">
        <x:f>"P1-0002"</x:f>
        <x:v>P1-0002</x:v>
      </x:c>
      <x:c r="F63" s="22" t="str">
        <x:v>PROPOFOL 10MG/20ML - CX/5 - MIDFARMA</x:v>
      </x:c>
      <x:c r="G63" s="22" t="str">
        <x:v>PROPOFOL</x:v>
      </x:c>
      <x:c r="H63" s="22" t="str">
        <x:v>10MG/20ML | 10MG | 20ML</x:v>
      </x:c>
      <x:c r="I63" s="22" t="str"/>
      <x:c r="J63" s="22" t="str">
        <x:v>CX/5 | CX | CONTEUDO5 | FATOR5</x:v>
      </x:c>
      <x:c r="K63" s="22" t="str">
        <x:v>CAIXA</x:v>
      </x:c>
      <x:c r="L63" s="22" t="str">
        <x:v>MIDFARMA</x:v>
      </x:c>
      <x:c r="M63" s="28" t="str">
        <x:f>"GTIN: 7896112105312"</x:f>
        <x:v>GTIN: 7896112105312</x:v>
      </x:c>
      <x:c r="N63" s="28" t="str">
        <x:f>"30039095"</x:f>
        <x:v>30039095</x:v>
      </x:c>
      <x:c r="O63" s="29" t="n">
        <x:v>5</x:v>
      </x:c>
      <x:c r="P63" s="29" t="n">
        <x:v>8.9</x:v>
      </x:c>
      <x:c r="Q63" s="28" t="str">
        <x:f>"656 | 657 | 658 | 659"</x:f>
        <x:v>656 | 657 | 658 | 659</x:v>
      </x:c>
      <x:c r="R63" s="28" t="str">
        <x:f>"P1-0002 | P1-0003 | P1-0001 | P1-0005"</x:f>
        <x:v>P1-0002 | P1-0003 | P1-0001 | P1-0005</x:v>
      </x:c>
      <x:c r="S63" s="22" t="str">
        <x:v>varios codigos legados consolidados em um produto; preco de venda divergente entre lotes</x:v>
      </x:c>
      <x:c r="T63" s="22" t="str">
        <x:v>PROPOFOL - 10MG/20ML | 10MG | 20ML - CAIXA - CX/5 | CX | CONTEUDO5 | FATOR5 - MIDFARMA</x:v>
      </x:c>
      <x:c r="U63" s="27" t="str"/>
      <x:c r="V63" s="27" t="str"/>
    </x:row>
    <x:row r="64">
      <x:c r="A64" s="28" t="str">
        <x:f>"G-247"</x:f>
        <x:v>G-247</x:v>
      </x:c>
      <x:c r="B64" s="22" t="str">
        <x:v>PROPOFOL</x:v>
      </x:c>
      <x:c r="C64" s="22" t="str">
        <x:v>ALTO</x:v>
      </x:c>
      <x:c r="D64" s="22" t="str">
        <x:v>REVISAR GTIN repetido; não consolidar automaticamente</x:v>
      </x:c>
      <x:c r="E64" s="28" t="str">
        <x:f>"P2B0019"</x:f>
        <x:v>P2B0019</x:v>
      </x:c>
      <x:c r="F64" s="22" t="str">
        <x:v>PROPOFOL 20ML B BRAUN CX/5</x:v>
      </x:c>
      <x:c r="G64" s="22" t="str">
        <x:v>PROPOFOL</x:v>
      </x:c>
      <x:c r="H64" s="22" t="str">
        <x:v>20ML</x:v>
      </x:c>
      <x:c r="I64" s="22" t="str"/>
      <x:c r="J64" s="22" t="str">
        <x:v>CX/5 | CX | CONTEUDO5 | FATOR5</x:v>
      </x:c>
      <x:c r="K64" s="22" t="str">
        <x:v>CAIXA</x:v>
      </x:c>
      <x:c r="L64" s="22" t="str">
        <x:v>B BRAUN</x:v>
      </x:c>
      <x:c r="M64" s="28" t="str">
        <x:f>"GTIN: 04030539005951"</x:f>
        <x:v>GTIN: 04030539005951</x:v>
      </x:c>
      <x:c r="N64" s="28" t="str">
        <x:f>"30039095"</x:f>
        <x:v>30039095</x:v>
      </x:c>
      <x:c r="O64" s="29" t="n">
        <x:v>6</x:v>
      </x:c>
      <x:c r="P64" s="29" t="n">
        <x:v>8.9</x:v>
      </x:c>
      <x:c r="Q64" s="28" t="str">
        <x:f>"660"</x:f>
        <x:v>660</x:v>
      </x:c>
      <x:c r="R64" s="28" t="str">
        <x:f>"P2B0019"</x:f>
        <x:v>P2B0019</x:v>
      </x:c>
      <x:c r="S64" s="22" t="str"/>
      <x:c r="T64" s="22" t="str">
        <x:v>PROPOFOL - 20ML - CAIXA - CX/5 | CX | CONTEUDO5 | FATOR5 - B BRAUN</x:v>
      </x:c>
      <x:c r="U64" s="27" t="str"/>
      <x:c r="V64" s="27" t="str"/>
    </x:row>
    <x:row r="65">
      <x:c r="A65" s="28" t="str">
        <x:f>"G-287"</x:f>
        <x:v>G-287</x:v>
      </x:c>
      <x:c r="B65" s="22" t="str">
        <x:v>SULFATO NEOMICINA BACITRACINA ZINCICA G</x:v>
      </x:c>
      <x:c r="C65" s="22" t="str">
        <x:v>ALTO</x:v>
      </x:c>
      <x:c r="D65" s="22" t="str">
        <x:v>REVISAR GTIN repetido; não consolidar automaticamente</x:v>
      </x:c>
      <x:c r="E65" s="28" t="str">
        <x:f>"SN50006"</x:f>
        <x:v>SN50006</x:v>
      </x:c>
      <x:c r="F65" s="22" t="str">
        <x:v>SULFATO DE NEOMICINA 5MG/G + BACITRACINA ZINCICA 250UI/G 10G - ALTEFAR</x:v>
      </x:c>
      <x:c r="G65" s="22" t="str">
        <x:v>SULFATO NEOMICINA + BACITRACINA ZINCICA G</x:v>
      </x:c>
      <x:c r="H65" s="22" t="str">
        <x:v>5MG/G | 5MG | 250UI | 10G</x:v>
      </x:c>
      <x:c r="I65" s="22" t="str">
        <x:v>10G</x:v>
      </x:c>
      <x:c r="J65" s="22" t="str">
        <x:v>UND</x:v>
      </x:c>
      <x:c r="K65" s="22" t="str">
        <x:v>UNIDADE</x:v>
      </x:c>
      <x:c r="L65" s="22" t="str">
        <x:v>ALTEFAR</x:v>
      </x:c>
      <x:c r="M65" s="28" t="str">
        <x:f>"GTIN: 7897917004992"</x:f>
        <x:v>GTIN: 7897917004992</x:v>
      </x:c>
      <x:c r="N65" s="28" t="str">
        <x:f>"30042069"</x:f>
        <x:v>30042069</x:v>
      </x:c>
      <x:c r="O65" s="29" t="n">
        <x:v>0</x:v>
      </x:c>
      <x:c r="P65" s="29" t="n">
        <x:v>4.76</x:v>
      </x:c>
      <x:c r="Q65" s="28" t="str">
        <x:f>"776"</x:f>
        <x:v>776</x:v>
      </x:c>
      <x:c r="R65" s="28" t="str">
        <x:f>"SN50006"</x:f>
        <x:v>SN50006</x:v>
      </x:c>
      <x:c r="S65" s="22" t="str"/>
      <x:c r="T65" s="22" t="str">
        <x:v>SULFATO NEOMICINA + BACITRACINA ZINCICA G - 5MG/G | 5MG | 250UI | 10G - 10G - UNIDADE - UND - ALTEFAR</x:v>
      </x:c>
      <x:c r="U65" s="27" t="str"/>
      <x:c r="V65" s="27" t="str"/>
    </x:row>
    <x:row r="66">
      <x:c r="A66" s="28" t="str">
        <x:f>"G-287"</x:f>
        <x:v>G-287</x:v>
      </x:c>
      <x:c r="B66" s="22" t="str">
        <x:v>SULFATO NEOMICINA BACITRACINA ZINCICA G</x:v>
      </x:c>
      <x:c r="C66" s="22" t="str">
        <x:v>ALTO</x:v>
      </x:c>
      <x:c r="D66" s="22" t="str">
        <x:v>REVISAR GTIN repetido; não consolidar automaticamente</x:v>
      </x:c>
      <x:c r="E66" s="28" t="str">
        <x:f>"SN+0002"</x:f>
        <x:v>SN+0002</x:v>
      </x:c>
      <x:c r="F66" s="22" t="str">
        <x:v>SULFATO DE NEOMICINA 5MG/G + BACITRACINA ZINCICA 250UI/G 15G ALTEFAR</x:v>
      </x:c>
      <x:c r="G66" s="22" t="str">
        <x:v>SULFATO NEOMICINA + BACITRACINA ZINCICA G</x:v>
      </x:c>
      <x:c r="H66" s="22" t="str">
        <x:v>5MG/G | 5MG | 250UI | 15G</x:v>
      </x:c>
      <x:c r="I66" s="22" t="str">
        <x:v>15G</x:v>
      </x:c>
      <x:c r="J66" s="22" t="str">
        <x:v>UND</x:v>
      </x:c>
      <x:c r="K66" s="22" t="str">
        <x:v>UNIDADE</x:v>
      </x:c>
      <x:c r="L66" s="22" t="str">
        <x:v>ALTEFAR</x:v>
      </x:c>
      <x:c r="M66" s="28" t="str"/>
      <x:c r="N66" s="28" t="str">
        <x:f>"30042069"</x:f>
        <x:v>30042069</x:v>
      </x:c>
      <x:c r="O66" s="29" t="n">
        <x:v>0</x:v>
      </x:c>
      <x:c r="P66" s="29" t="n">
        <x:v>4.76</x:v>
      </x:c>
      <x:c r="Q66" s="28" t="str">
        <x:f>"777"</x:f>
        <x:v>777</x:v>
      </x:c>
      <x:c r="R66" s="28" t="str">
        <x:f>"SN+0002"</x:f>
        <x:v>SN+0002</x:v>
      </x:c>
      <x:c r="S66" s="22" t="str">
        <x:v>GTIN ausente ou invalido</x:v>
      </x:c>
      <x:c r="T66" s="22" t="str">
        <x:v>SULFATO NEOMICINA + BACITRACINA ZINCICA G - 5MG/G | 5MG | 250UI | 15G - 15G - UNIDADE - UND - ALTEFAR</x:v>
      </x:c>
      <x:c r="U66" s="27" t="str"/>
      <x:c r="V66" s="27" t="str"/>
    </x:row>
    <x:row r="67">
      <x:c r="A67" s="28" t="str">
        <x:f>"G-287"</x:f>
        <x:v>G-287</x:v>
      </x:c>
      <x:c r="B67" s="22" t="str">
        <x:v>SULFATO NEOMICINA BACITRACINA ZINCICA G</x:v>
      </x:c>
      <x:c r="C67" s="22" t="str">
        <x:v>ALTO</x:v>
      </x:c>
      <x:c r="D67" s="22" t="str">
        <x:v>REVISAR GTIN repetido; não consolidar automaticamente</x:v>
      </x:c>
      <x:c r="E67" s="28" t="str">
        <x:f>"SN50005"</x:f>
        <x:v>SN50005</x:v>
      </x:c>
      <x:c r="F67" s="22" t="str">
        <x:v>SULFATO DE NEOMICINA 5MG/G + BACITRACINA ZINCICA 250UI/G 15G MEDLEY</x:v>
      </x:c>
      <x:c r="G67" s="22" t="str">
        <x:v>SULFATO NEOMICINA + BACITRACINA ZINCICA G</x:v>
      </x:c>
      <x:c r="H67" s="22" t="str">
        <x:v>5MG/G | 5MG | 250UI | 15G</x:v>
      </x:c>
      <x:c r="I67" s="22" t="str">
        <x:v>15G</x:v>
      </x:c>
      <x:c r="J67" s="22" t="str">
        <x:v>UND</x:v>
      </x:c>
      <x:c r="K67" s="22" t="str">
        <x:v>UNIDADE</x:v>
      </x:c>
      <x:c r="L67" s="22" t="str">
        <x:v>MEDLEY</x:v>
      </x:c>
      <x:c r="M67" s="28" t="str">
        <x:f>"GTIN: 04136033"</x:f>
        <x:v>GTIN: 04136033</x:v>
      </x:c>
      <x:c r="N67" s="28" t="str">
        <x:f>"30042069"</x:f>
        <x:v>30042069</x:v>
      </x:c>
      <x:c r="O67" s="29" t="n">
        <x:v>2</x:v>
      </x:c>
      <x:c r="P67" s="29" t="n">
        <x:v>4.76</x:v>
      </x:c>
      <x:c r="Q67" s="28" t="str">
        <x:f>"778 | 779"</x:f>
        <x:v>778 | 779</x:v>
      </x:c>
      <x:c r="R67" s="28" t="str">
        <x:f>"SN50005 | SN50004"</x:f>
        <x:v>SN50005 | SN50004</x:v>
      </x:c>
      <x:c r="S67" s="22" t="str">
        <x:v>varios codigos legados consolidados em um produto; GTIN repetido em produtos distintos</x:v>
      </x:c>
      <x:c r="T67" s="22" t="str">
        <x:v>SULFATO NEOMICINA + BACITRACINA ZINCICA G - 5MG/G | 5MG | 250UI | 15G - 15G - UNIDADE - UND - MEDLEY</x:v>
      </x:c>
      <x:c r="U67" s="27" t="str"/>
      <x:c r="V67" s="27" t="str"/>
    </x:row>
    <x:row r="68">
      <x:c r="A68" s="28" t="str">
        <x:f>"G-287"</x:f>
        <x:v>G-287</x:v>
      </x:c>
      <x:c r="B68" s="22" t="str">
        <x:v>SULFATO NEOMICINA BACITRACINA ZINCICA G</x:v>
      </x:c>
      <x:c r="C68" s="22" t="str">
        <x:v>ALTO</x:v>
      </x:c>
      <x:c r="D68" s="22" t="str">
        <x:v>REVISAR GTIN repetido; não consolidar automaticamente</x:v>
      </x:c>
      <x:c r="E68" s="28" t="str">
        <x:f>"SN50003"</x:f>
        <x:v>SN50003</x:v>
      </x:c>
      <x:c r="F68" s="22" t="str">
        <x:v>SULFATO DE NEOMICINA 5MG/G + BACITRACINA ZINCICA 250UI/G 15G PRATI</x:v>
      </x:c>
      <x:c r="G68" s="22" t="str">
        <x:v>SULFATO NEOMICINA + BACITRACINA ZINCICA G</x:v>
      </x:c>
      <x:c r="H68" s="22" t="str">
        <x:v>5MG/G | 5MG | 250UI | 15G</x:v>
      </x:c>
      <x:c r="I68" s="22" t="str">
        <x:v>15G</x:v>
      </x:c>
      <x:c r="J68" s="22" t="str">
        <x:v>UND</x:v>
      </x:c>
      <x:c r="K68" s="22" t="str">
        <x:v>UNIDADE</x:v>
      </x:c>
      <x:c r="L68" s="22" t="str">
        <x:v>PRATI</x:v>
      </x:c>
      <x:c r="M68" s="28" t="str">
        <x:f>"GTIN: 04136033"</x:f>
        <x:v>GTIN: 04136033</x:v>
      </x:c>
      <x:c r="N68" s="28" t="str">
        <x:f>"30042069"</x:f>
        <x:v>30042069</x:v>
      </x:c>
      <x:c r="O68" s="29" t="n">
        <x:v>2</x:v>
      </x:c>
      <x:c r="P68" s="29" t="n">
        <x:v>4.76</x:v>
      </x:c>
      <x:c r="Q68" s="28" t="str">
        <x:f>"780 | 781 | 782"</x:f>
        <x:v>780 | 781 | 782</x:v>
      </x:c>
      <x:c r="R68" s="28" t="str">
        <x:f>"SN50001 | SN50003 | SN50002"</x:f>
        <x:v>SN50001 | SN50003 | SN50002</x:v>
      </x:c>
      <x:c r="S68" s="22" t="str">
        <x:v>varios codigos legados consolidados em um produto; GTIN repetido em produtos distintos</x:v>
      </x:c>
      <x:c r="T68" s="22" t="str">
        <x:v>SULFATO NEOMICINA + BACITRACINA ZINCICA G - 5MG/G | 5MG | 250UI | 15G - 15G - UNIDADE - UND - PRATI</x:v>
      </x:c>
      <x:c r="U68" s="27" t="str"/>
      <x:c r="V68" s="27" t="str"/>
    </x:row>
    <x:row r="69">
      <x:c r="A69" s="28" t="str">
        <x:f>"G-021"</x:f>
        <x:v>G-021</x:v>
      </x:c>
      <x:c r="B69" s="22" t="str">
        <x:v>AMOXICILINA CLAVULANATO</x:v>
      </x:c>
      <x:c r="C69" s="22" t="str">
        <x:v>ALTO</x:v>
      </x:c>
      <x:c r="D69" s="22" t="str">
        <x:v>REVISAR GTIN repetido; não consolidar automaticamente</x:v>
      </x:c>
      <x:c r="E69" s="28" t="str">
        <x:f>"A+C0004"</x:f>
        <x:v>A+C0004</x:v>
      </x:c>
      <x:c r="F69" s="22" t="str">
        <x:v>AMOXICILINA + CLAVULANATO 1000MG + 200MG - CX/20 - BLAU</x:v>
      </x:c>
      <x:c r="G69" s="22" t="str">
        <x:v>AMOXICILINA + CLAVULANATO +</x:v>
      </x:c>
      <x:c r="H69" s="22" t="str">
        <x:v>1000MG | 200MG</x:v>
      </x:c>
      <x:c r="I69" s="22" t="str"/>
      <x:c r="J69" s="22" t="str">
        <x:v>CX/20 | CX | CONTEUDO20 | FATOR20</x:v>
      </x:c>
      <x:c r="K69" s="22" t="str">
        <x:v>CAIXA</x:v>
      </x:c>
      <x:c r="L69" s="22" t="str">
        <x:v>BLAU</x:v>
      </x:c>
      <x:c r="M69" s="28" t="str">
        <x:f>"GTIN: 7891317003371"</x:f>
        <x:v>GTIN: 7891317003371</x:v>
      </x:c>
      <x:c r="N69" s="28" t="str">
        <x:f>"30041012"</x:f>
        <x:v>30041012</x:v>
      </x:c>
      <x:c r="O69" s="29" t="n">
        <x:v>7</x:v>
      </x:c>
      <x:c r="P69" s="29" t="n">
        <x:v>16.96</x:v>
      </x:c>
      <x:c r="Q69" s="28" t="str">
        <x:f>"52 | 53 | 54 | 55 | 56 | 57"</x:f>
        <x:v>52 | 53 | 54 | 55 | 56 | 57</x:v>
      </x:c>
      <x:c r="R69" s="28" t="str">
        <x:f>"A+C0004 | A+C0001 | A+C0005 | A+C0009 | A+C0006 | A+C0008"</x:f>
        <x:v>A+C0004 | A+C0001 | A+C0005 | A+C0009 | A+C0006 | A+C0008</x:v>
      </x:c>
      <x:c r="S69" s="22" t="str">
        <x:v>varios codigos legados consolidados em um produto; GTIN repetido em produtos distintos</x:v>
      </x:c>
      <x:c r="T69" s="22" t="str">
        <x:v>AMOXICILINA + CLAVULANATO + - 1000MG | 200MG - CAIXA - CX/20 | CX | CONTEUDO20 | FATOR20 - BLAU</x:v>
      </x:c>
      <x:c r="U69" s="27" t="str"/>
      <x:c r="V69" s="27" t="str"/>
    </x:row>
    <x:row r="70">
      <x:c r="A70" s="28" t="str">
        <x:f>"G-021"</x:f>
        <x:v>G-021</x:v>
      </x:c>
      <x:c r="B70" s="22" t="str">
        <x:v>AMOXICILINA CLAVULANATO</x:v>
      </x:c>
      <x:c r="C70" s="22" t="str">
        <x:v>ALTO</x:v>
      </x:c>
      <x:c r="D70" s="22" t="str">
        <x:v>REVISAR GTIN repetido; não consolidar automaticamente</x:v>
      </x:c>
      <x:c r="E70" s="28" t="str">
        <x:f>"A+C0010"</x:f>
        <x:v>A+C0010</x:v>
      </x:c>
      <x:c r="F70" s="22" t="str">
        <x:v>AMOXICILINA + CLAVULANATO 1G + 200MG - CX/10 - EUGIA</x:v>
      </x:c>
      <x:c r="G70" s="22" t="str">
        <x:v>AMOXICILINA + CLAVULANATO +</x:v>
      </x:c>
      <x:c r="H70" s="22" t="str">
        <x:v>1G | 200MG</x:v>
      </x:c>
      <x:c r="I70" s="22" t="str">
        <x:v>1G</x:v>
      </x:c>
      <x:c r="J70" s="22" t="str">
        <x:v>CX/10 | CX | CONTEUDO10 | FATOR10</x:v>
      </x:c>
      <x:c r="K70" s="22" t="str">
        <x:v>CAIXA</x:v>
      </x:c>
      <x:c r="L70" s="22" t="str">
        <x:v>EUGIA</x:v>
      </x:c>
      <x:c r="M70" s="28" t="str">
        <x:f>"GTIN: 7898739420304"</x:f>
        <x:v>GTIN: 7898739420304</x:v>
      </x:c>
      <x:c r="N70" s="28" t="str">
        <x:f>"30041012"</x:f>
        <x:v>30041012</x:v>
      </x:c>
      <x:c r="O70" s="29" t="n">
        <x:v>7</x:v>
      </x:c>
      <x:c r="P70" s="29" t="n">
        <x:v>16.96</x:v>
      </x:c>
      <x:c r="Q70" s="28" t="str">
        <x:f>"58 | 59 | 60 | 61"</x:f>
        <x:v>58 | 59 | 60 | 61</x:v>
      </x:c>
      <x:c r="R70" s="28" t="str">
        <x:f>"A+C0010 | A+C0002 | A+C0007 | A+C0003"</x:f>
        <x:v>A+C0010 | A+C0002 | A+C0007 | A+C0003</x:v>
      </x:c>
      <x:c r="S70" s="22" t="str">
        <x:v>varios codigos legados consolidados em um produto</x:v>
      </x:c>
      <x:c r="T70" s="22" t="str">
        <x:v>AMOXICILINA + CLAVULANATO + - 1G | 200MG - 1G - CAIXA - CX/10 | CX | CONTEUDO10 | FATOR10 - EUGIA</x:v>
      </x:c>
      <x:c r="U70" s="27" t="str"/>
      <x:c r="V70" s="27" t="str"/>
    </x:row>
    <x:row r="71">
      <x:c r="A71" s="28" t="str">
        <x:f>"G-021"</x:f>
        <x:v>G-021</x:v>
      </x:c>
      <x:c r="B71" s="22" t="str">
        <x:v>AMOXICILINA CLAVULANATO</x:v>
      </x:c>
      <x:c r="C71" s="22" t="str">
        <x:v>ALTO</x:v>
      </x:c>
      <x:c r="D71" s="22" t="str">
        <x:v>REVISAR GTIN repetido; não consolidar automaticamente</x:v>
      </x:c>
      <x:c r="E71" s="28" t="str">
        <x:f>"A+C0037"</x:f>
        <x:v>A+C0037</x:v>
      </x:c>
      <x:c r="F71" s="22" t="str">
        <x:v>AMOXICILINA + CLAVULANATO 1G + 200MG - CX/10 - EUROFARMA</x:v>
      </x:c>
      <x:c r="G71" s="22" t="str">
        <x:v>AMOXICILINA + CLAVULANATO +</x:v>
      </x:c>
      <x:c r="H71" s="22" t="str">
        <x:v>1G | 200MG</x:v>
      </x:c>
      <x:c r="I71" s="22" t="str">
        <x:v>1G</x:v>
      </x:c>
      <x:c r="J71" s="22" t="str">
        <x:v>CX/10 | CX | CONTEUDO10 | FATOR10</x:v>
      </x:c>
      <x:c r="K71" s="22" t="str">
        <x:v>CAIXA</x:v>
      </x:c>
      <x:c r="L71" s="22" t="str">
        <x:v>EUROFARMA</x:v>
      </x:c>
      <x:c r="M71" s="28" t="str">
        <x:f>"GTIN: 7891317003371"</x:f>
        <x:v>GTIN: 7891317003371</x:v>
      </x:c>
      <x:c r="N71" s="28" t="str">
        <x:f>"30041012"</x:f>
        <x:v>30041012</x:v>
      </x:c>
      <x:c r="O71" s="29" t="n">
        <x:v>7</x:v>
      </x:c>
      <x:c r="P71" s="29" t="n">
        <x:v>16.96</x:v>
      </x:c>
      <x:c r="Q71" s="28" t="str">
        <x:f>"62"</x:f>
        <x:v>62</x:v>
      </x:c>
      <x:c r="R71" s="28" t="str">
        <x:f>"A+C0037"</x:f>
        <x:v>A+C0037</x:v>
      </x:c>
      <x:c r="S71" s="22" t="str">
        <x:v>GTIN repetido em produtos distintos</x:v>
      </x:c>
      <x:c r="T71" s="22" t="str">
        <x:v>AMOXICILINA + CLAVULANATO + - 1G | 200MG - 1G - CAIXA - CX/10 | CX | CONTEUDO10 | FATOR10 - EUROFARMA</x:v>
      </x:c>
      <x:c r="U71" s="27" t="str"/>
      <x:c r="V71" s="27" t="str"/>
    </x:row>
    <x:row r="72">
      <x:c r="A72" s="28" t="str">
        <x:f>"G-068"</x:f>
        <x:v>G-068</x:v>
      </x:c>
      <x:c r="B72" s="22" t="str">
        <x:v>CIPROFLOXACINO</x:v>
      </x:c>
      <x:c r="C72" s="22" t="str">
        <x:v>ALTO</x:v>
      </x:c>
      <x:c r="D72" s="22" t="str">
        <x:v>REVISAR GTIN repetido; não consolidar automaticamente</x:v>
      </x:c>
      <x:c r="E72" s="28" t="str">
        <x:f>"C2C0008"</x:f>
        <x:v>C2C0008</x:v>
      </x:c>
      <x:c r="F72" s="22" t="str">
        <x:v>CIPROFLOXACINO 2MG/100ML - CX/60 - HALEXISTAR</x:v>
      </x:c>
      <x:c r="G72" s="22" t="str">
        <x:v>CIPROFLOXACINO</x:v>
      </x:c>
      <x:c r="H72" s="22" t="str">
        <x:v>2MG/100ML | 2MG | 100ML</x:v>
      </x:c>
      <x:c r="I72" s="22" t="str"/>
      <x:c r="J72" s="22" t="str">
        <x:v>CX/60 | CX | CONTEUDO60 | FATOR60</x:v>
      </x:c>
      <x:c r="K72" s="22" t="str">
        <x:v>CAIXA</x:v>
      </x:c>
      <x:c r="L72" s="22" t="str">
        <x:v>HALEXISTAR</x:v>
      </x:c>
      <x:c r="M72" s="28" t="str"/>
      <x:c r="N72" s="28" t="str">
        <x:f>"30042099"</x:f>
        <x:v>30042099</x:v>
      </x:c>
      <x:c r="O72" s="29" t="n">
        <x:v>4.5</x:v>
      </x:c>
      <x:c r="P72" s="29" t="n">
        <x:v>6.75</x:v>
      </x:c>
      <x:c r="Q72" s="28" t="str">
        <x:f>"175"</x:f>
        <x:v>175</x:v>
      </x:c>
      <x:c r="R72" s="28" t="str">
        <x:f>"C2C0008"</x:f>
        <x:v>C2C0008</x:v>
      </x:c>
      <x:c r="S72" s="22" t="str">
        <x:v>GTIN ausente ou invalido</x:v>
      </x:c>
      <x:c r="T72" s="22" t="str">
        <x:v>CIPROFLOXACINO - 2MG/100ML | 2MG | 100ML - CAIXA - CX/60 | CX | CONTEUDO60 | FATOR60 - HALEXISTAR</x:v>
      </x:c>
      <x:c r="U72" s="27" t="str"/>
      <x:c r="V72" s="27" t="str"/>
    </x:row>
    <x:row r="73">
      <x:c r="A73" s="28" t="str">
        <x:f>"G-068"</x:f>
        <x:v>G-068</x:v>
      </x:c>
      <x:c r="B73" s="22" t="str">
        <x:v>CIPROFLOXACINO</x:v>
      </x:c>
      <x:c r="C73" s="22" t="str">
        <x:v>ALTO</x:v>
      </x:c>
      <x:c r="D73" s="22" t="str">
        <x:v>REVISAR GTIN repetido; não consolidar automaticamente</x:v>
      </x:c>
      <x:c r="E73" s="28" t="str">
        <x:f>"C2-0001"</x:f>
        <x:v>C2-0001</x:v>
      </x:c>
      <x:c r="F73" s="22" t="str">
        <x:v>CIPROFLOXACINO 2MG/100ML - CX/80 - FRESENIUS</x:v>
      </x:c>
      <x:c r="G73" s="22" t="str">
        <x:v>CIPROFLOXACINO</x:v>
      </x:c>
      <x:c r="H73" s="22" t="str">
        <x:v>2MG/100ML | 2MG | 100ML</x:v>
      </x:c>
      <x:c r="I73" s="22" t="str"/>
      <x:c r="J73" s="22" t="str">
        <x:v>CX/80 | CX | CONTEUDO80 | FATOR80</x:v>
      </x:c>
      <x:c r="K73" s="22" t="str">
        <x:v>CAIXA</x:v>
      </x:c>
      <x:c r="L73" s="22" t="str">
        <x:v>FRESENIUS</x:v>
      </x:c>
      <x:c r="M73" s="28" t="str">
        <x:f>"GTIN: 7897947708754"</x:f>
        <x:v>GTIN: 7897947708754</x:v>
      </x:c>
      <x:c r="N73" s="28" t="str">
        <x:f>"30042099"</x:f>
        <x:v>30042099</x:v>
      </x:c>
      <x:c r="O73" s="29" t="n">
        <x:v>4.5</x:v>
      </x:c>
      <x:c r="P73" s="29" t="n">
        <x:v>6.75</x:v>
      </x:c>
      <x:c r="Q73" s="28" t="str">
        <x:f>"176 | 177"</x:f>
        <x:v>176 | 177</x:v>
      </x:c>
      <x:c r="R73" s="28" t="str">
        <x:f>"C2-0001 | C2C0007"</x:f>
        <x:v>C2-0001 | C2C0007</x:v>
      </x:c>
      <x:c r="S73" s="22" t="str">
        <x:v>varios codigos legados consolidados em um produto; GTIN repetido em produtos distintos</x:v>
      </x:c>
      <x:c r="T73" s="22" t="str">
        <x:v>CIPROFLOXACINO - 2MG/100ML | 2MG | 100ML - CAIXA - CX/80 | CX | CONTEUDO80 | FATOR80 - FRESENIUS</x:v>
      </x:c>
      <x:c r="U73" s="27" t="str"/>
      <x:c r="V73" s="27" t="str"/>
    </x:row>
    <x:row r="74">
      <x:c r="A74" s="28" t="str">
        <x:f>"G-068"</x:f>
        <x:v>G-068</x:v>
      </x:c>
      <x:c r="B74" s="22" t="str">
        <x:v>CIPROFLOXACINO</x:v>
      </x:c>
      <x:c r="C74" s="22" t="str">
        <x:v>ALTO</x:v>
      </x:c>
      <x:c r="D74" s="22" t="str">
        <x:v>REVISAR GTIN repetido; não consolidar automaticamente</x:v>
      </x:c>
      <x:c r="E74" s="28" t="str">
        <x:f>"C2C0009"</x:f>
        <x:v>C2C0009</x:v>
      </x:c>
      <x:c r="F74" s="22" t="str">
        <x:v>CIPROFLOXACINO 2MG/100ML CX/60 - ISOFARMA</x:v>
      </x:c>
      <x:c r="G74" s="22" t="str">
        <x:v>CIPROFLOXACINO</x:v>
      </x:c>
      <x:c r="H74" s="22" t="str">
        <x:v>2MG/100ML | 2MG | 100ML</x:v>
      </x:c>
      <x:c r="I74" s="22" t="str"/>
      <x:c r="J74" s="22" t="str">
        <x:v>CX/60 | CX | CONTEUDO60 | FATOR60</x:v>
      </x:c>
      <x:c r="K74" s="22" t="str">
        <x:v>CAIXA</x:v>
      </x:c>
      <x:c r="L74" s="22" t="str">
        <x:v>ISOFARMA</x:v>
      </x:c>
      <x:c r="M74" s="28" t="str">
        <x:f>"GTIN: 7897947708754"</x:f>
        <x:v>GTIN: 7897947708754</x:v>
      </x:c>
      <x:c r="N74" s="28" t="str">
        <x:f>"30042099"</x:f>
        <x:v>30042099</x:v>
      </x:c>
      <x:c r="O74" s="29" t="n">
        <x:v>4.5</x:v>
      </x:c>
      <x:c r="P74" s="29" t="n">
        <x:v>6.75</x:v>
      </x:c>
      <x:c r="Q74" s="28" t="str">
        <x:f>"178"</x:f>
        <x:v>178</x:v>
      </x:c>
      <x:c r="R74" s="28" t="str">
        <x:f>"C2C0009"</x:f>
        <x:v>C2C0009</x:v>
      </x:c>
      <x:c r="S74" s="22" t="str">
        <x:v>GTIN repetido em produtos distintos</x:v>
      </x:c>
      <x:c r="T74" s="22" t="str">
        <x:v>CIPROFLOXACINO - 2MG/100ML | 2MG | 100ML - CAIXA - CX/60 | CX | CONTEUDO60 | FATOR60 - ISOFARMA</x:v>
      </x:c>
      <x:c r="U74" s="27" t="str"/>
      <x:c r="V74" s="27" t="str"/>
    </x:row>
    <x:row r="75">
      <x:c r="A75" s="28" t="str">
        <x:f>"G-092"</x:f>
        <x:v>G-092</x:v>
      </x:c>
      <x:c r="B75" s="22" t="str">
        <x:v>CLORIDRATO DEXMEDETOMIDINA</x:v>
      </x:c>
      <x:c r="C75" s="22" t="str">
        <x:v>ALTO</x:v>
      </x:c>
      <x:c r="D75" s="22" t="str">
        <x:v>REVISAR GTIN repetido; não consolidar automaticamente</x:v>
      </x:c>
      <x:c r="E75" s="28" t="str">
        <x:f>"CD(0014"</x:f>
        <x:v>CD(0014</x:v>
      </x:c>
      <x:c r="F75" s="22" t="str">
        <x:v>CLORIDRATO DE DEXMEDETOMIDINA (PRECEDEX) 100MCG/2ML - CX/05 - VOLPHARMA</x:v>
      </x:c>
      <x:c r="G75" s="22" t="str">
        <x:v>CLORIDRATO DEXMEDETOMIDINA</x:v>
      </x:c>
      <x:c r="H75" s="22" t="str">
        <x:v>100MCG/2ML | 100MCG | 2ML</x:v>
      </x:c>
      <x:c r="I75" s="22" t="str"/>
      <x:c r="J75" s="22" t="str">
        <x:v>CX/05 | CX5</x:v>
      </x:c>
      <x:c r="K75" s="22" t="str">
        <x:v>CAIXA</x:v>
      </x:c>
      <x:c r="L75" s="22" t="str">
        <x:v>VOLPHARMA</x:v>
      </x:c>
      <x:c r="M75" s="28" t="str">
        <x:f>"GTIN: 7898958337049"</x:f>
        <x:v>GTIN: 7898958337049</x:v>
      </x:c>
      <x:c r="N75" s="28" t="str">
        <x:f>"30049069"</x:f>
        <x:v>30049069</x:v>
      </x:c>
      <x:c r="O75" s="29" t="n">
        <x:v>5</x:v>
      </x:c>
      <x:c r="P75" s="29" t="n">
        <x:v>10.95</x:v>
      </x:c>
      <x:c r="Q75" s="28" t="str">
        <x:f>"259 | 260"</x:f>
        <x:v>259 | 260</x:v>
      </x:c>
      <x:c r="R75" s="28" t="str">
        <x:f>"CD(0013 | CD(0014"</x:f>
        <x:v>CD(0013 | CD(0014</x:v>
      </x:c>
      <x:c r="S75" s="22" t="str">
        <x:v>varios codigos legados consolidados em um produto; GTIN repetido em produtos distintos</x:v>
      </x:c>
      <x:c r="T75" s="22" t="str">
        <x:v>CLORIDRATO DEXMEDETOMIDINA - 100MCG/2ML | 100MCG | 2ML - CAIXA - CX/05 | CX5 - VOLPHARMA</x:v>
      </x:c>
      <x:c r="U75" s="27" t="str"/>
      <x:c r="V75" s="27" t="str"/>
    </x:row>
    <x:row r="76">
      <x:c r="A76" s="28" t="str">
        <x:f>"G-092"</x:f>
        <x:v>G-092</x:v>
      </x:c>
      <x:c r="B76" s="22" t="str">
        <x:v>CLORIDRATO DEXMEDETOMIDINA</x:v>
      </x:c>
      <x:c r="C76" s="22" t="str">
        <x:v>ALTO</x:v>
      </x:c>
      <x:c r="D76" s="22" t="str">
        <x:v>REVISAR GTIN repetido; não consolidar automaticamente</x:v>
      </x:c>
      <x:c r="E76" s="28" t="str">
        <x:f>"CD10014"</x:f>
        <x:v>CD10014</x:v>
      </x:c>
      <x:c r="F76" s="22" t="str">
        <x:v>CLORIDRATO DE DEXMEDETOMIDINA 100MCG/2ML - CX/5 - CRISTÁLIA (PRECEDEX)</x:v>
      </x:c>
      <x:c r="G76" s="22" t="str">
        <x:v>CLORIDRATO DEXMEDETOMIDINA</x:v>
      </x:c>
      <x:c r="H76" s="22" t="str">
        <x:v>100MCG/2ML | 100MCG | 2ML</x:v>
      </x:c>
      <x:c r="I76" s="22" t="str"/>
      <x:c r="J76" s="22" t="str">
        <x:v>CX/5 | CX | CONTEUDO5 | FATOR5</x:v>
      </x:c>
      <x:c r="K76" s="22" t="str">
        <x:v>CAIXA</x:v>
      </x:c>
      <x:c r="L76" s="22" t="str">
        <x:v>CRISTÁLIA</x:v>
      </x:c>
      <x:c r="M76" s="28" t="str">
        <x:f>"GTIN: 7896676435054"</x:f>
        <x:v>GTIN: 7896676435054</x:v>
      </x:c>
      <x:c r="N76" s="28" t="str">
        <x:f>"30049069"</x:f>
        <x:v>30049069</x:v>
      </x:c>
      <x:c r="O76" s="29" t="n">
        <x:v>3.51</x:v>
      </x:c>
      <x:c r="P76" s="29" t="n">
        <x:v>10.5</x:v>
      </x:c>
      <x:c r="Q76" s="28" t="str">
        <x:f>"261"</x:f>
        <x:v>261</x:v>
      </x:c>
      <x:c r="R76" s="28" t="str">
        <x:f>"CD10014"</x:f>
        <x:v>CD10014</x:v>
      </x:c>
      <x:c r="S76" s="22" t="str"/>
      <x:c r="T76" s="22" t="str">
        <x:v>CLORIDRATO DEXMEDETOMIDINA - 100MCG/2ML | 100MCG | 2ML - CAIXA - CX/5 | CX | CONTEUDO5 | FATOR5 - CRISTÁLIA</x:v>
      </x:c>
      <x:c r="U76" s="27" t="str"/>
      <x:c r="V76" s="27" t="str"/>
    </x:row>
    <x:row r="77">
      <x:c r="A77" s="28" t="str">
        <x:f>"G-092"</x:f>
        <x:v>G-092</x:v>
      </x:c>
      <x:c r="B77" s="22" t="str">
        <x:v>CLORIDRATO DEXMEDETOMIDINA</x:v>
      </x:c>
      <x:c r="C77" s="22" t="str">
        <x:v>ALTO</x:v>
      </x:c>
      <x:c r="D77" s="22" t="str">
        <x:v>REVISAR GTIN repetido; não consolidar automaticamente</x:v>
      </x:c>
      <x:c r="E77" s="28" t="str">
        <x:f>"CD(0010"</x:f>
        <x:v>CD(0010</x:v>
      </x:c>
      <x:c r="F77" s="22" t="str">
        <x:v>CLORIDRATO DE DEXMEDETOMIDINA 100MCG/2ML - CX/5 - VOLPHARMA (PRECEDEX)</x:v>
      </x:c>
      <x:c r="G77" s="22" t="str">
        <x:v>CLORIDRATO DEXMEDETOMIDINA</x:v>
      </x:c>
      <x:c r="H77" s="22" t="str">
        <x:v>100MCG/2ML | 100MCG | 2ML</x:v>
      </x:c>
      <x:c r="I77" s="22" t="str"/>
      <x:c r="J77" s="22" t="str">
        <x:v>CX/5 | CX5</x:v>
      </x:c>
      <x:c r="K77" s="22" t="str">
        <x:v>CAIXA</x:v>
      </x:c>
      <x:c r="L77" s="22" t="str">
        <x:v>VOLPHARMA</x:v>
      </x:c>
      <x:c r="M77" s="28" t="str">
        <x:f>"GTIN: 7898958337049"</x:f>
        <x:v>GTIN: 7898958337049</x:v>
      </x:c>
      <x:c r="N77" s="28" t="str">
        <x:f>"30049069"</x:f>
        <x:v>30049069</x:v>
      </x:c>
      <x:c r="O77" s="29" t="n">
        <x:v>5</x:v>
      </x:c>
      <x:c r="P77" s="29" t="n">
        <x:v>10.5</x:v>
      </x:c>
      <x:c r="Q77" s="28" t="str">
        <x:f>"262"</x:f>
        <x:v>262</x:v>
      </x:c>
      <x:c r="R77" s="28" t="str">
        <x:f>"CD(0010"</x:f>
        <x:v>CD(0010</x:v>
      </x:c>
      <x:c r="S77" s="22" t="str">
        <x:v>GTIN repetido em produtos distintos</x:v>
      </x:c>
      <x:c r="T77" s="22" t="str">
        <x:v>CLORIDRATO DEXMEDETOMIDINA - 100MCG/2ML | 100MCG | 2ML - CAIXA - CX/5 | CX5 - VOLPHARMA</x:v>
      </x:c>
      <x:c r="U77" s="27" t="str"/>
      <x:c r="V77" s="27" t="str"/>
    </x:row>
    <x:row r="78">
      <x:c r="A78" s="28" t="str">
        <x:f>"G-198"</x:f>
        <x:v>G-198</x:v>
      </x:c>
      <x:c r="B78" s="22" t="str">
        <x:v>LIDOCAINA SV</x:v>
      </x:c>
      <x:c r="C78" s="22" t="str">
        <x:v>ALTO</x:v>
      </x:c>
      <x:c r="D78" s="22" t="str">
        <x:v>REVISAR GTIN repetido; não consolidar automaticamente</x:v>
      </x:c>
      <x:c r="E78" s="28" t="str">
        <x:f>"L120002"</x:f>
        <x:v>L120002</x:v>
      </x:c>
      <x:c r="F78" s="22" t="str">
        <x:v>LIDOCAINA 1% 20ML SV CX/25 - CRISTÁLIA</x:v>
      </x:c>
      <x:c r="G78" s="22" t="str">
        <x:v>LIDOCAINA % SV</x:v>
      </x:c>
      <x:c r="H78" s="22" t="str">
        <x:v>20ML</x:v>
      </x:c>
      <x:c r="I78" s="22" t="str"/>
      <x:c r="J78" s="22" t="str">
        <x:v>CX/25 | CX25</x:v>
      </x:c>
      <x:c r="K78" s="22" t="str">
        <x:v>CAIXA</x:v>
      </x:c>
      <x:c r="L78" s="22" t="str">
        <x:v>CRISTÁLIA</x:v>
      </x:c>
      <x:c r="M78" s="28" t="str">
        <x:f>"GTIN: 07896676400649"</x:f>
        <x:v>GTIN: 07896676400649</x:v>
      </x:c>
      <x:c r="N78" s="28" t="str">
        <x:f>"30049043"</x:f>
        <x:v>30049043</x:v>
      </x:c>
      <x:c r="O78" s="29" t="n">
        <x:v>5.3</x:v>
      </x:c>
      <x:c r="P78" s="29" t="n">
        <x:v>5.9</x:v>
      </x:c>
      <x:c r="Q78" s="28" t="str">
        <x:f>"531"</x:f>
        <x:v>531</x:v>
      </x:c>
      <x:c r="R78" s="28" t="str">
        <x:f>"L120002"</x:f>
        <x:v>L120002</x:v>
      </x:c>
      <x:c r="S78" s="22" t="str">
        <x:v>GTIN repetido em produtos distintos</x:v>
      </x:c>
      <x:c r="T78" s="22" t="str">
        <x:v>LIDOCAINA % SV - 20ML - CAIXA - CX/25 | CX25 - CRISTÁLIA</x:v>
      </x:c>
      <x:c r="U78" s="27" t="str"/>
      <x:c r="V78" s="27" t="str"/>
    </x:row>
    <x:row r="79">
      <x:c r="A79" s="28" t="str">
        <x:f>"G-198"</x:f>
        <x:v>G-198</x:v>
      </x:c>
      <x:c r="B79" s="22" t="str">
        <x:v>LIDOCAINA SV</x:v>
      </x:c>
      <x:c r="C79" s="22" t="str">
        <x:v>ALTO</x:v>
      </x:c>
      <x:c r="D79" s="22" t="str">
        <x:v>REVISAR GTIN repetido; não consolidar automaticamente</x:v>
      </x:c>
      <x:c r="E79" s="28" t="str">
        <x:f>"L220022"</x:f>
        <x:v>L220022</x:v>
      </x:c>
      <x:c r="F79" s="22" t="str">
        <x:v>LIDOCAINA 2% 20MG/ML SV - CX/10 - CRISTALIA</x:v>
      </x:c>
      <x:c r="G79" s="22" t="str">
        <x:v>LIDOCAINA % SV</x:v>
      </x:c>
      <x:c r="H79" s="22" t="str">
        <x:v>20MG/ML | 20MG</x:v>
      </x:c>
      <x:c r="I79" s="22" t="str"/>
      <x:c r="J79" s="22" t="str">
        <x:v>CX/10 | CX | CONTEUDO10 | FATOR10</x:v>
      </x:c>
      <x:c r="K79" s="22" t="str">
        <x:v>CAIXA</x:v>
      </x:c>
      <x:c r="L79" s="22" t="str">
        <x:v>CRISTALIA</x:v>
      </x:c>
      <x:c r="M79" s="28" t="str">
        <x:f>"GTIN: 7896676400663"</x:f>
        <x:v>GTIN: 7896676400663</x:v>
      </x:c>
      <x:c r="N79" s="28" t="str">
        <x:f>"30049043"</x:f>
        <x:v>30049043</x:v>
      </x:c>
      <x:c r="O79" s="29" t="n">
        <x:v>2.5</x:v>
      </x:c>
      <x:c r="P79" s="29" t="n">
        <x:v>6.64</x:v>
      </x:c>
      <x:c r="Q79" s="28" t="str">
        <x:f>"540 | 541 | 542 | 543 | 544 | 545"</x:f>
        <x:v>540 | 541 | 542 | 543 | 544 | 545</x:v>
      </x:c>
      <x:c r="R79" s="28" t="str">
        <x:f>"L220022 | L220023 | L220024 | L220026 | L220002 | L220001"</x:f>
        <x:v>L220022 | L220023 | L220024 | L220026 | L220002 | L220001</x:v>
      </x:c>
      <x:c r="S79" s="22" t="str">
        <x:v>varios codigos legados consolidados em um produto; GTIN repetido em produtos distintos</x:v>
      </x:c>
      <x:c r="T79" s="22" t="str">
        <x:v>LIDOCAINA % SV - 20MG/ML | 20MG - CAIXA - CX/10 | CX | CONTEUDO10 | FATOR10 - CRISTALIA</x:v>
      </x:c>
      <x:c r="U79" s="27" t="str"/>
      <x:c r="V79" s="27" t="str"/>
    </x:row>
    <x:row r="80">
      <x:c r="A80" s="28" t="str">
        <x:f>"G-198"</x:f>
        <x:v>G-198</x:v>
      </x:c>
      <x:c r="B80" s="22" t="str">
        <x:v>LIDOCAINA SV</x:v>
      </x:c>
      <x:c r="C80" s="22" t="str">
        <x:v>ALTO</x:v>
      </x:c>
      <x:c r="D80" s="22" t="str">
        <x:v>REVISAR GTIN repetido; não consolidar automaticamente</x:v>
      </x:c>
      <x:c r="E80" s="28" t="str">
        <x:f>"L220029"</x:f>
        <x:v>L220029</x:v>
      </x:c>
      <x:c r="F80" s="22" t="str">
        <x:v>LIDOCAINA 2% 20MG/ML SV - CX/25 - HIPOLABOR</x:v>
      </x:c>
      <x:c r="G80" s="22" t="str">
        <x:v>LIDOCAINA % SV</x:v>
      </x:c>
      <x:c r="H80" s="22" t="str">
        <x:v>20MG/ML | 20MG</x:v>
      </x:c>
      <x:c r="I80" s="22" t="str"/>
      <x:c r="J80" s="22" t="str">
        <x:v>CX/25 | CX | CONTEUDO25 | FATOR25</x:v>
      </x:c>
      <x:c r="K80" s="22" t="str">
        <x:v>CAIXA</x:v>
      </x:c>
      <x:c r="L80" s="22" t="str">
        <x:v>HIPOLABOR</x:v>
      </x:c>
      <x:c r="M80" s="28" t="str">
        <x:f>"GTIN: 7896676400663"</x:f>
        <x:v>GTIN: 7896676400663</x:v>
      </x:c>
      <x:c r="N80" s="28" t="str">
        <x:f>"30049043"</x:f>
        <x:v>30049043</x:v>
      </x:c>
      <x:c r="O80" s="29" t="n">
        <x:v>2.5</x:v>
      </x:c>
      <x:c r="P80" s="29" t="n">
        <x:v>6.64</x:v>
      </x:c>
      <x:c r="Q80" s="28" t="str">
        <x:f>"546 | 547 | 548"</x:f>
        <x:v>546 | 547 | 548</x:v>
      </x:c>
      <x:c r="R80" s="28" t="str">
        <x:f>"L220029 | L220032 | L220003"</x:f>
        <x:v>L220029 | L220032 | L220003</x:v>
      </x:c>
      <x:c r="S80" s="22" t="str">
        <x:v>varios codigos legados consolidados em um produto; GTIN repetido em produtos distintos</x:v>
      </x:c>
      <x:c r="T80" s="22" t="str">
        <x:v>LIDOCAINA % SV - 20MG/ML | 20MG - CAIXA - CX/25 | CX | CONTEUDO25 | FATOR25 - HIPOLABOR</x:v>
      </x:c>
      <x:c r="U80" s="27" t="str"/>
      <x:c r="V80" s="27" t="str"/>
    </x:row>
    <x:row r="81">
      <x:c r="A81" s="28" t="str">
        <x:f>"G-221"</x:f>
        <x:v>G-221</x:v>
      </x:c>
      <x:c r="B81" s="22" t="str">
        <x:v>MEROPENEM BIO CHIMICO</x:v>
      </x:c>
      <x:c r="C81" s="22" t="str">
        <x:v>ALTO</x:v>
      </x:c>
      <x:c r="D81" s="22" t="str">
        <x:v>REVISAR GTIN repetido; não consolidar automaticamente</x:v>
      </x:c>
      <x:c r="E81" s="28" t="str">
        <x:f>"M5-0001"</x:f>
        <x:v>M5-0001</x:v>
      </x:c>
      <x:c r="F81" s="22" t="str">
        <x:v>MEROPENEM 1G - CX/25 - BIO CHIMICO</x:v>
      </x:c>
      <x:c r="G81" s="22" t="str">
        <x:v>MEROPENEM BIO CHIMICO</x:v>
      </x:c>
      <x:c r="H81" s="22" t="str">
        <x:v>1G</x:v>
      </x:c>
      <x:c r="I81" s="22" t="str">
        <x:v>1G</x:v>
      </x:c>
      <x:c r="J81" s="22" t="str">
        <x:v>CX/25 | CX | CONTEUDO25 | FATOR25</x:v>
      </x:c>
      <x:c r="K81" s="22" t="str">
        <x:v>CAIXA</x:v>
      </x:c>
      <x:c r="L81" s="22" t="str">
        <x:v>BIOCHIMICO</x:v>
      </x:c>
      <x:c r="M81" s="28" t="str">
        <x:f>"GTIN: 7897406111590"</x:f>
        <x:v>GTIN: 7897406111590</x:v>
      </x:c>
      <x:c r="N81" s="28" t="str">
        <x:f>"30042099"</x:f>
        <x:v>30042099</x:v>
      </x:c>
      <x:c r="O81" s="29" t="n">
        <x:v>7</x:v>
      </x:c>
      <x:c r="P81" s="29" t="n">
        <x:v>12.5</x:v>
      </x:c>
      <x:c r="Q81" s="28" t="str">
        <x:f>"585 | 586 | 587"</x:f>
        <x:v>585 | 586 | 587</x:v>
      </x:c>
      <x:c r="R81" s="28" t="str">
        <x:f>"M1-0002 | M5-0001 | M1-0006"</x:f>
        <x:v>M1-0002 | M5-0001 | M1-0006</x:v>
      </x:c>
      <x:c r="S81" s="22" t="str">
        <x:v>varios codigos legados consolidados em um produto; GTIN repetido em produtos distintos</x:v>
      </x:c>
      <x:c r="T81" s="22" t="str">
        <x:v>MEROPENEM BIO CHIMICO - 1G - CAIXA - CX/25 | CX | CONTEUDO25 | FATOR25 - BIOCHIMICO</x:v>
      </x:c>
      <x:c r="U81" s="27" t="str"/>
      <x:c r="V81" s="27" t="str"/>
    </x:row>
    <x:row r="82">
      <x:c r="A82" s="28" t="str">
        <x:f>"G-221"</x:f>
        <x:v>G-221</x:v>
      </x:c>
      <x:c r="B82" s="22" t="str">
        <x:v>MEROPENEM BIO CHIMICO</x:v>
      </x:c>
      <x:c r="C82" s="22" t="str">
        <x:v>ALTO</x:v>
      </x:c>
      <x:c r="D82" s="22" t="str">
        <x:v>REVISAR GTIN repetido; não consolidar automaticamente</x:v>
      </x:c>
      <x:c r="E82" s="28" t="str">
        <x:f>"M5B0001"</x:f>
        <x:v>M5B0001</x:v>
      </x:c>
      <x:c r="F82" s="22" t="str">
        <x:v>MEROPENEM 500MG - CX/10 - BIO CHIMICO</x:v>
      </x:c>
      <x:c r="G82" s="22" t="str">
        <x:v>MEROPENEM BIO CHIMICO</x:v>
      </x:c>
      <x:c r="H82" s="22" t="str">
        <x:v>500MG</x:v>
      </x:c>
      <x:c r="I82" s="22" t="str"/>
      <x:c r="J82" s="22" t="str">
        <x:v>CX/10 | CX | CONTEUDO10 | FATOR10</x:v>
      </x:c>
      <x:c r="K82" s="22" t="str">
        <x:v>CAIXA</x:v>
      </x:c>
      <x:c r="L82" s="22" t="str">
        <x:v>BIOCHIMICO</x:v>
      </x:c>
      <x:c r="M82" s="28" t="str">
        <x:f>"GTIN: 7897406111590"</x:f>
        <x:v>GTIN: 7897406111590</x:v>
      </x:c>
      <x:c r="N82" s="28" t="str">
        <x:f>"30042099"</x:f>
        <x:v>30042099</x:v>
      </x:c>
      <x:c r="O82" s="29" t="n">
        <x:v>5</x:v>
      </x:c>
      <x:c r="P82" s="29" t="n">
        <x:v>7.45</x:v>
      </x:c>
      <x:c r="Q82" s="28" t="str">
        <x:f>"598"</x:f>
        <x:v>598</x:v>
      </x:c>
      <x:c r="R82" s="28" t="str">
        <x:f>"M5B0001"</x:f>
        <x:v>M5B0001</x:v>
      </x:c>
      <x:c r="S82" s="22" t="str">
        <x:v>GTIN repetido em produtos distintos</x:v>
      </x:c>
      <x:c r="T82" s="22" t="str">
        <x:v>MEROPENEM BIO CHIMICO - 500MG - CAIXA - CX/10 | CX | CONTEUDO10 | FATOR10 - BIOCHIMICO</x:v>
      </x:c>
      <x:c r="U82" s="27" t="str"/>
      <x:c r="V82" s="27" t="str"/>
    </x:row>
    <x:row r="83">
      <x:c r="A83" s="28" t="str">
        <x:f>"G-221"</x:f>
        <x:v>G-221</x:v>
      </x:c>
      <x:c r="B83" s="22" t="str">
        <x:v>MEROPENEM BIO CHIMICO</x:v>
      </x:c>
      <x:c r="C83" s="22" t="str">
        <x:v>ALTO</x:v>
      </x:c>
      <x:c r="D83" s="22" t="str">
        <x:v>REVISAR GTIN repetido; não consolidar automaticamente</x:v>
      </x:c>
      <x:c r="E83" s="28" t="str">
        <x:f>"M5-0006"</x:f>
        <x:v>M5-0006</x:v>
      </x:c>
      <x:c r="F83" s="22" t="str">
        <x:v>MEROPENEM 500MG - CX/25 - BIO CHIMICO</x:v>
      </x:c>
      <x:c r="G83" s="22" t="str">
        <x:v>MEROPENEM BIO CHIMICO</x:v>
      </x:c>
      <x:c r="H83" s="22" t="str">
        <x:v>500MG</x:v>
      </x:c>
      <x:c r="I83" s="22" t="str"/>
      <x:c r="J83" s="22" t="str">
        <x:v>CX/25 | CX | CONTEUDO10 | FATOR10</x:v>
      </x:c>
      <x:c r="K83" s="22" t="str">
        <x:v>CAIXA</x:v>
      </x:c>
      <x:c r="L83" s="22" t="str">
        <x:v>BIOCHIMICO</x:v>
      </x:c>
      <x:c r="M83" s="28" t="str">
        <x:f>"GTIN: 7897406111590"</x:f>
        <x:v>GTIN: 7897406111590</x:v>
      </x:c>
      <x:c r="N83" s="28" t="str">
        <x:f>"30042099"</x:f>
        <x:v>30042099</x:v>
      </x:c>
      <x:c r="O83" s="29" t="n">
        <x:v>5</x:v>
      </x:c>
      <x:c r="P83" s="29" t="n">
        <x:v>7.45</x:v>
      </x:c>
      <x:c r="Q83" s="28" t="str">
        <x:f>"599"</x:f>
        <x:v>599</x:v>
      </x:c>
      <x:c r="R83" s="28" t="str">
        <x:f>"M5-0006"</x:f>
        <x:v>M5-0006</x:v>
      </x:c>
      <x:c r="S83" s="22" t="str">
        <x:v>GTIN repetido em produtos distintos</x:v>
      </x:c>
      <x:c r="T83" s="22" t="str">
        <x:v>MEROPENEM BIO CHIMICO - 500MG - CAIXA - CX/25 | CX | CONTEUDO10 | FATOR10 - BIOCHIMICO</x:v>
      </x:c>
      <x:c r="U83" s="27" t="str"/>
      <x:c r="V83" s="27" t="str"/>
    </x:row>
    <x:row r="84">
      <x:c r="A84" s="28" t="str">
        <x:f>"G-009"</x:f>
        <x:v>G-009</x:v>
      </x:c>
      <x:c r="B84" s="22" t="str">
        <x:v>AGUA PARA INJECAO</x:v>
      </x:c>
      <x:c r="C84" s="22" t="str">
        <x:v>ALTO</x:v>
      </x:c>
      <x:c r="D84" s="22" t="str">
        <x:v>REVISAR GTIN repetido; não consolidar automaticamente</x:v>
      </x:c>
      <x:c r="E84" s="28" t="str">
        <x:f>"ÁPI0001"</x:f>
        <x:v>ÁPI0001</x:v>
      </x:c>
      <x:c r="F84" s="22" t="str">
        <x:v>ÁGUA PARA INJEÇÃO 10ML - FARMACE CX/200</x:v>
      </x:c>
      <x:c r="G84" s="22" t="str">
        <x:v>AGUA PARA INJECAO</x:v>
      </x:c>
      <x:c r="H84" s="22" t="str">
        <x:v>10ML</x:v>
      </x:c>
      <x:c r="I84" s="22" t="str"/>
      <x:c r="J84" s="22" t="str">
        <x:v>CX/200 | CX | CONTEUDO200 | FATOR200</x:v>
      </x:c>
      <x:c r="K84" s="22" t="str">
        <x:v>CAIXA</x:v>
      </x:c>
      <x:c r="L84" s="22" t="str">
        <x:v>FARMACE</x:v>
      </x:c>
      <x:c r="M84" s="28" t="str">
        <x:f>"GTIN: 7898179363896"</x:f>
        <x:v>GTIN: 7898179363896</x:v>
      </x:c>
      <x:c r="N84" s="28" t="str">
        <x:f>"28470000"</x:f>
        <x:v>28470000</x:v>
      </x:c>
      <x:c r="O84" s="29" t="n">
        <x:v>3.9</x:v>
      </x:c>
      <x:c r="P84" s="29" t="n">
        <x:v>5.85</x:v>
      </x:c>
      <x:c r="Q84" s="28" t="str">
        <x:f>"22"</x:f>
        <x:v>22</x:v>
      </x:c>
      <x:c r="R84" s="28" t="str">
        <x:f>"ÁPI0001"</x:f>
        <x:v>ÁPI0001</x:v>
      </x:c>
      <x:c r="S84" s="22" t="str">
        <x:v>GTIN repetido em produtos distintos</x:v>
      </x:c>
      <x:c r="T84" s="22" t="str">
        <x:v>AGUA PARA INJECAO - 10ML - CAIXA - CX/200 | CX | CONTEUDO200 | FATOR200 - FARMACE</x:v>
      </x:c>
      <x:c r="U84" s="27" t="str"/>
      <x:c r="V84" s="27" t="str"/>
    </x:row>
    <x:row r="85">
      <x:c r="A85" s="28" t="str">
        <x:f>"G-009"</x:f>
        <x:v>G-009</x:v>
      </x:c>
      <x:c r="B85" s="22" t="str">
        <x:v>AGUA PARA INJECAO</x:v>
      </x:c>
      <x:c r="C85" s="22" t="str">
        <x:v>ALTO</x:v>
      </x:c>
      <x:c r="D85" s="22" t="str">
        <x:v>REVISAR GTIN repetido; não consolidar automaticamente</x:v>
      </x:c>
      <x:c r="E85" s="28" t="str">
        <x:f>"CS00008"</x:f>
        <x:v>CS00008</x:v>
      </x:c>
      <x:c r="F85" s="22" t="str">
        <x:v>ÁGUA PARA INJEÇÃO 500ML - CX/50 - FRESENIUS</x:v>
      </x:c>
      <x:c r="G85" s="22" t="str">
        <x:v>AGUA PARA INJECAO</x:v>
      </x:c>
      <x:c r="H85" s="22" t="str">
        <x:v>500ML</x:v>
      </x:c>
      <x:c r="I85" s="22" t="str"/>
      <x:c r="J85" s="22" t="str">
        <x:v>CX/50 | CX | CONTEUDO50 | FATOR50</x:v>
      </x:c>
      <x:c r="K85" s="22" t="str">
        <x:v>CAIXA</x:v>
      </x:c>
      <x:c r="L85" s="22" t="str">
        <x:v>FRESENIUS</x:v>
      </x:c>
      <x:c r="M85" s="28" t="str">
        <x:f>"GTIN: 7898179363896"</x:f>
        <x:v>GTIN: 7898179363896</x:v>
      </x:c>
      <x:c r="N85" s="28" t="str">
        <x:f>"28470000"</x:f>
        <x:v>28470000</x:v>
      </x:c>
      <x:c r="O85" s="29" t="n">
        <x:v>3.9</x:v>
      </x:c>
      <x:c r="P85" s="29" t="n">
        <x:v>5.85</x:v>
      </x:c>
      <x:c r="Q85" s="28" t="str">
        <x:f>"23"</x:f>
        <x:v>23</x:v>
      </x:c>
      <x:c r="R85" s="28" t="str">
        <x:f>"CS00008"</x:f>
        <x:v>CS00008</x:v>
      </x:c>
      <x:c r="S85" s="22" t="str">
        <x:v>GTIN repetido em produtos distintos</x:v>
      </x:c>
      <x:c r="T85" s="22" t="str">
        <x:v>AGUA PARA INJECAO - 500ML - CAIXA - CX/50 | CX | CONTEUDO50 | FATOR50 - FRESENIUS</x:v>
      </x:c>
      <x:c r="U85" s="27" t="str"/>
      <x:c r="V85" s="27" t="str"/>
    </x:row>
    <x:row r="86">
      <x:c r="A86" s="28" t="str">
        <x:f>"G-071"</x:f>
        <x:v>G-071</x:v>
      </x:c>
      <x:c r="B86" s="22" t="str">
        <x:v>CITRATO FENTANILA FENTANEST</x:v>
      </x:c>
      <x:c r="C86" s="22" t="str">
        <x:v>ALTO</x:v>
      </x:c>
      <x:c r="D86" s="22" t="str">
        <x:v>REVISAR GTIN repetido; não consolidar automaticamente</x:v>
      </x:c>
      <x:c r="E86" s="28" t="str">
        <x:f>"CFF0002"</x:f>
        <x:v>CFF0002</x:v>
      </x:c>
      <x:c r="F86" s="22" t="str">
        <x:v>CITRATO DE FENTANILA FENTANEST 0,0785MG/ML 0,05 MG/ML 10ML CX/25 - CRISTÁLIA</x:v>
      </x:c>
      <x:c r="G86" s="22" t="str">
        <x:v>CITRATO FENTANILA FENTANEST</x:v>
      </x:c>
      <x:c r="H86" s="22" t="str">
        <x:v>0,0785MG/ML | 0,05MG/ML | 0,0785MG | 0,05MG | 10ML</x:v>
      </x:c>
      <x:c r="I86" s="22" t="str"/>
      <x:c r="J86" s="22" t="str">
        <x:v>CX/25 | UN</x:v>
      </x:c>
      <x:c r="K86" s="22" t="str">
        <x:v>UNIDADE</x:v>
      </x:c>
      <x:c r="L86" s="22" t="str">
        <x:v>CRISTÁLIA</x:v>
      </x:c>
      <x:c r="M86" s="28" t="str">
        <x:f>"GTIN: 7896676429350"</x:f>
        <x:v>GTIN: 7896676429350</x:v>
      </x:c>
      <x:c r="N86" s="28" t="str">
        <x:f>"30049032"</x:f>
        <x:v>30049032</x:v>
      </x:c>
      <x:c r="O86" s="29" t="n">
        <x:v>2.5</x:v>
      </x:c>
      <x:c r="P86" s="29" t="n">
        <x:v>0</x:v>
      </x:c>
      <x:c r="Q86" s="28" t="str">
        <x:f>"185"</x:f>
        <x:v>185</x:v>
      </x:c>
      <x:c r="R86" s="28" t="str">
        <x:f>"CFF0002"</x:f>
        <x:v>CFF0002</x:v>
      </x:c>
      <x:c r="S86" s="22" t="str">
        <x:v>GTIN repetido em produtos distintos</x:v>
      </x:c>
      <x:c r="T86" s="22" t="str">
        <x:v>CITRATO FENTANILA FENTANEST - 0,0785MG/ML | 0,05MG/ML | 0,0785MG | 0,05MG | 10ML - UNIDADE - CX/25 | UN - CRISTÁLIA</x:v>
      </x:c>
      <x:c r="U86" s="27" t="str"/>
      <x:c r="V86" s="27" t="str"/>
    </x:row>
    <x:row r="87">
      <x:c r="A87" s="28" t="str">
        <x:f>"G-071"</x:f>
        <x:v>G-071</x:v>
      </x:c>
      <x:c r="B87" s="22" t="str">
        <x:v>CITRATO FENTANILA FENTANEST</x:v>
      </x:c>
      <x:c r="C87" s="22" t="str">
        <x:v>ALTO</x:v>
      </x:c>
      <x:c r="D87" s="22" t="str">
        <x:v>REVISAR GTIN repetido; não consolidar automaticamente</x:v>
      </x:c>
      <x:c r="E87" s="28" t="str">
        <x:f>"CFF0001"</x:f>
        <x:v>CFF0001</x:v>
      </x:c>
      <x:c r="F87" s="22" t="str">
        <x:v>CITRATO DE FENTANILA FENTANEST 0,0785MG/ML 0,05 MG/ML CX/25 - CRISTÁLIA</x:v>
      </x:c>
      <x:c r="G87" s="22" t="str">
        <x:v>CITRATO FENTANILA FENTANEST</x:v>
      </x:c>
      <x:c r="H87" s="22" t="str">
        <x:v>0,0785MG/ML | 0,05MG/ML | 0,0785MG | 0,05MG</x:v>
      </x:c>
      <x:c r="I87" s="22" t="str"/>
      <x:c r="J87" s="22" t="str">
        <x:v>CX/25 | UN</x:v>
      </x:c>
      <x:c r="K87" s="22" t="str">
        <x:v>UNIDADE</x:v>
      </x:c>
      <x:c r="L87" s="22" t="str">
        <x:v>CRISTÁLIA</x:v>
      </x:c>
      <x:c r="M87" s="28" t="str">
        <x:f>"GTIN: 7896676429350"</x:f>
        <x:v>GTIN: 7896676429350</x:v>
      </x:c>
      <x:c r="N87" s="28" t="str">
        <x:f>"30049032"</x:f>
        <x:v>30049032</x:v>
      </x:c>
      <x:c r="O87" s="29" t="n">
        <x:v>2.5</x:v>
      </x:c>
      <x:c r="P87" s="29" t="n">
        <x:v>0</x:v>
      </x:c>
      <x:c r="Q87" s="28" t="str">
        <x:f>"186"</x:f>
        <x:v>186</x:v>
      </x:c>
      <x:c r="R87" s="28" t="str">
        <x:f>"CFF0001"</x:f>
        <x:v>CFF0001</x:v>
      </x:c>
      <x:c r="S87" s="22" t="str">
        <x:v>GTIN repetido em produtos distintos</x:v>
      </x:c>
      <x:c r="T87" s="22" t="str">
        <x:v>CITRATO FENTANILA FENTANEST - 0,0785MG/ML | 0,05MG/ML | 0,0785MG | 0,05MG - UNIDADE - CX/25 | UN - CRISTÁLIA</x:v>
      </x:c>
      <x:c r="U87" s="27" t="str"/>
      <x:c r="V87" s="27" t="str"/>
    </x:row>
    <x:row r="88">
      <x:c r="A88" s="28" t="str">
        <x:f>"G-087"</x:f>
        <x:v>G-087</x:v>
      </x:c>
      <x:c r="B88" s="22" t="str">
        <x:v>CLORIDRATO AMIODARONA</x:v>
      </x:c>
      <x:c r="C88" s="22" t="str">
        <x:v>ALTO</x:v>
      </x:c>
      <x:c r="D88" s="22" t="str">
        <x:v>REVISAR GTIN repetido; não consolidar automaticamente</x:v>
      </x:c>
      <x:c r="E88" s="28" t="str">
        <x:f>"CA50007"</x:f>
        <x:v>CA50007</x:v>
      </x:c>
      <x:c r="F88" s="22" t="str">
        <x:v>CLORIDRATO DE AMIODARONA 50MG/ML - CX/100 - HIPOLABOR</x:v>
      </x:c>
      <x:c r="G88" s="22" t="str">
        <x:v>CLORIDRATO AMIODARONA</x:v>
      </x:c>
      <x:c r="H88" s="22" t="str">
        <x:v>50MG/ML | 50MG</x:v>
      </x:c>
      <x:c r="I88" s="22" t="str"/>
      <x:c r="J88" s="22" t="str">
        <x:v>CX/100 | CX | CONTEUDO100 | FATOR100</x:v>
      </x:c>
      <x:c r="K88" s="22" t="str">
        <x:v>CAIXA</x:v>
      </x:c>
      <x:c r="L88" s="22" t="str">
        <x:v>HIPOLABOR</x:v>
      </x:c>
      <x:c r="M88" s="28" t="str">
        <x:f>"GTIN: 7898123907749"</x:f>
        <x:v>GTIN: 7898123907749</x:v>
      </x:c>
      <x:c r="N88" s="28" t="str">
        <x:f>"30049054"</x:f>
        <x:v>30049054</x:v>
      </x:c>
      <x:c r="O88" s="29" t="n">
        <x:v>2</x:v>
      </x:c>
      <x:c r="P88" s="29" t="n">
        <x:v>3.55</x:v>
      </x:c>
      <x:c r="Q88" s="28" t="str">
        <x:f>"246 | 247"</x:f>
        <x:v>246 | 247</x:v>
      </x:c>
      <x:c r="R88" s="28" t="str">
        <x:f>"CA50007 | CA50006"</x:f>
        <x:v>CA50007 | CA50006</x:v>
      </x:c>
      <x:c r="S88" s="22" t="str">
        <x:v>varios codigos legados consolidados em um produto; GTIN repetido em produtos distintos</x:v>
      </x:c>
      <x:c r="T88" s="22" t="str">
        <x:v>CLORIDRATO AMIODARONA - 50MG/ML | 50MG - CAIXA - CX/100 | CX | CONTEUDO100 | FATOR100 - HIPOLABOR</x:v>
      </x:c>
      <x:c r="U88" s="27" t="str"/>
      <x:c r="V88" s="27" t="str"/>
    </x:row>
    <x:row r="89">
      <x:c r="A89" s="28" t="str">
        <x:f>"G-087"</x:f>
        <x:v>G-087</x:v>
      </x:c>
      <x:c r="B89" s="22" t="str">
        <x:v>CLORIDRATO AMIODARONA</x:v>
      </x:c>
      <x:c r="C89" s="22" t="str">
        <x:v>ALTO</x:v>
      </x:c>
      <x:c r="D89" s="22" t="str">
        <x:v>REVISAR GTIN repetido; não consolidar automaticamente</x:v>
      </x:c>
      <x:c r="E89" s="28" t="str">
        <x:f>"CA50001"</x:f>
        <x:v>CA50001</x:v>
      </x:c>
      <x:c r="F89" s="22" t="str">
        <x:v>CLORIDRATO DE AMIODARONA 50MG/ML 3ML FR - CX/50 - FRESENIUS</x:v>
      </x:c>
      <x:c r="G89" s="22" t="str">
        <x:v>CLORIDRATO AMIODARONA</x:v>
      </x:c>
      <x:c r="H89" s="22" t="str">
        <x:v>50MG/ML | 50MG | 3ML</x:v>
      </x:c>
      <x:c r="I89" s="22" t="str"/>
      <x:c r="J89" s="22" t="str">
        <x:v>FR | CX/50 | CX | CONTEUDO50 | FATOR50</x:v>
      </x:c>
      <x:c r="K89" s="22" t="str">
        <x:v>CAIXA</x:v>
      </x:c>
      <x:c r="L89" s="22" t="str">
        <x:v>FRESENIUS</x:v>
      </x:c>
      <x:c r="M89" s="28" t="str">
        <x:f>"GTIN: 7898123907749"</x:f>
        <x:v>GTIN: 7898123907749</x:v>
      </x:c>
      <x:c r="N89" s="28" t="str">
        <x:f>"30049054"</x:f>
        <x:v>30049054</x:v>
      </x:c>
      <x:c r="O89" s="29" t="n">
        <x:v>2</x:v>
      </x:c>
      <x:c r="P89" s="29" t="n">
        <x:v>3.55</x:v>
      </x:c>
      <x:c r="Q89" s="28" t="str">
        <x:f>"248"</x:f>
        <x:v>248</x:v>
      </x:c>
      <x:c r="R89" s="28" t="str">
        <x:f>"CA50001"</x:f>
        <x:v>CA50001</x:v>
      </x:c>
      <x:c r="S89" s="22" t="str">
        <x:v>GTIN repetido em produtos distintos</x:v>
      </x:c>
      <x:c r="T89" s="22" t="str">
        <x:v>CLORIDRATO AMIODARONA - 50MG/ML | 50MG | 3ML - CAIXA - FR | CX/50 | CX | CONTEUDO50 | FATOR50 - FRESENIUS</x:v>
      </x:c>
      <x:c r="U89" s="27" t="str"/>
      <x:c r="V89" s="27" t="str"/>
    </x:row>
    <x:row r="90">
      <x:c r="A90" s="28" t="str">
        <x:f>"G-093"</x:f>
        <x:v>G-093</x:v>
      </x:c>
      <x:c r="B90" s="22" t="str">
        <x:v>CLORIDRATO DOBUTAMINA</x:v>
      </x:c>
      <x:c r="C90" s="22" t="str">
        <x:v>ALTO</x:v>
      </x:c>
      <x:c r="D90" s="22" t="str">
        <x:v>REVISAR GTIN repetido; não consolidar automaticamente</x:v>
      </x:c>
      <x:c r="E90" s="28" t="str">
        <x:f>"CD20001"</x:f>
        <x:v>CD20001</x:v>
      </x:c>
      <x:c r="F90" s="22" t="str">
        <x:v>CLORIDRATO DE DOBUTAMINA 250MG/20ML CX/10 - HYPOFARMA</x:v>
      </x:c>
      <x:c r="G90" s="22" t="str">
        <x:v>CLORIDRATO DOBUTAMINA</x:v>
      </x:c>
      <x:c r="H90" s="22" t="str">
        <x:v>250MG/20ML | 250MG | 20ML</x:v>
      </x:c>
      <x:c r="I90" s="22" t="str"/>
      <x:c r="J90" s="22" t="str">
        <x:v>CX/10 | CX | CONTEUDO10 | FATOR10</x:v>
      </x:c>
      <x:c r="K90" s="22" t="str">
        <x:v>CAIXA</x:v>
      </x:c>
      <x:c r="L90" s="22" t="str">
        <x:v>HYPOFARMA</x:v>
      </x:c>
      <x:c r="M90" s="28" t="str">
        <x:f>"GTIN: 7898123905905"</x:f>
        <x:v>GTIN: 7898123905905</x:v>
      </x:c>
      <x:c r="N90" s="28" t="str">
        <x:f>"30049039"</x:f>
        <x:v>30049039</x:v>
      </x:c>
      <x:c r="O90" s="29" t="n">
        <x:v>4</x:v>
      </x:c>
      <x:c r="P90" s="29" t="n">
        <x:v>0</x:v>
      </x:c>
      <x:c r="Q90" s="28" t="str">
        <x:f>"263"</x:f>
        <x:v>263</x:v>
      </x:c>
      <x:c r="R90" s="28" t="str">
        <x:f>"CD20001"</x:f>
        <x:v>CD20001</x:v>
      </x:c>
      <x:c r="S90" s="22" t="str">
        <x:v>GTIN repetido em produtos distintos</x:v>
      </x:c>
      <x:c r="T90" s="22" t="str">
        <x:v>CLORIDRATO DOBUTAMINA - 250MG/20ML | 250MG | 20ML - CAIXA - CX/10 | CX | CONTEUDO10 | FATOR10 - HYPOFARMA</x:v>
      </x:c>
      <x:c r="U90" s="27" t="str"/>
      <x:c r="V90" s="27" t="str"/>
    </x:row>
    <x:row r="91">
      <x:c r="A91" s="28" t="str">
        <x:f>"G-093"</x:f>
        <x:v>G-093</x:v>
      </x:c>
      <x:c r="B91" s="22" t="str">
        <x:v>CLORIDRATO DOBUTAMINA</x:v>
      </x:c>
      <x:c r="C91" s="22" t="str">
        <x:v>ALTO</x:v>
      </x:c>
      <x:c r="D91" s="22" t="str">
        <x:v>REVISAR GTIN repetido; não consolidar automaticamente</x:v>
      </x:c>
      <x:c r="E91" s="28" t="str">
        <x:f>"CD20002"</x:f>
        <x:v>CD20002</x:v>
      </x:c>
      <x:c r="F91" s="22" t="str">
        <x:v>CLORIDRATO DE DOBUTAMINA 250MG/20ML CX/50 - TEUTO</x:v>
      </x:c>
      <x:c r="G91" s="22" t="str">
        <x:v>CLORIDRATO DOBUTAMINA</x:v>
      </x:c>
      <x:c r="H91" s="22" t="str">
        <x:v>250MG/20ML | 250MG | 20ML</x:v>
      </x:c>
      <x:c r="I91" s="22" t="str"/>
      <x:c r="J91" s="22" t="str">
        <x:v>CX/50 | CX | CONTEUDO50 | FATOR50</x:v>
      </x:c>
      <x:c r="K91" s="22" t="str">
        <x:v>CAIXA</x:v>
      </x:c>
      <x:c r="L91" s="22" t="str">
        <x:v>TEUTO</x:v>
      </x:c>
      <x:c r="M91" s="28" t="str">
        <x:f>"GTIN: 7898123905905"</x:f>
        <x:v>GTIN: 7898123905905</x:v>
      </x:c>
      <x:c r="N91" s="28" t="str">
        <x:f>"30049039"</x:f>
        <x:v>30049039</x:v>
      </x:c>
      <x:c r="O91" s="29" t="n">
        <x:v>4</x:v>
      </x:c>
      <x:c r="P91" s="29" t="n">
        <x:v>0</x:v>
      </x:c>
      <x:c r="Q91" s="28" t="str">
        <x:f>"264"</x:f>
        <x:v>264</x:v>
      </x:c>
      <x:c r="R91" s="28" t="str">
        <x:f>"CD20002"</x:f>
        <x:v>CD20002</x:v>
      </x:c>
      <x:c r="S91" s="22" t="str">
        <x:v>GTIN repetido em produtos distintos</x:v>
      </x:c>
      <x:c r="T91" s="22" t="str">
        <x:v>CLORIDRATO DOBUTAMINA - 250MG/20ML | 250MG | 20ML - CAIXA - CX/50 | CX | CONTEUDO50 | FATOR50 - TEUTO</x:v>
      </x:c>
      <x:c r="U91" s="27" t="str"/>
      <x:c r="V91" s="27" t="str"/>
    </x:row>
    <x:row r="92">
      <x:c r="A92" s="28" t="str">
        <x:f>"G-263"</x:f>
        <x:v>G-263</x:v>
      </x:c>
      <x:c r="B92" s="22" t="str">
        <x:v>SERINGA AG LUER LOCK</x:v>
      </x:c>
      <x:c r="C92" s="22" t="str">
        <x:v>ALTO</x:v>
      </x:c>
      <x:c r="D92" s="22" t="str">
        <x:v>REVISAR GTIN repetido; não consolidar automaticamente</x:v>
      </x:c>
      <x:c r="E92" s="28" t="str">
        <x:f>"S2S0004"</x:f>
        <x:v>S2S0004</x:v>
      </x:c>
      <x:c r="F92" s="22" t="str">
        <x:v>SERINGA 20ML S/AG LUER LOCK - CX/250 - SR</x:v>
      </x:c>
      <x:c r="G92" s="22" t="str">
        <x:v>SERINGA AG LUER LOCK</x:v>
      </x:c>
      <x:c r="H92" s="22" t="str">
        <x:v>20ML</x:v>
      </x:c>
      <x:c r="I92" s="22" t="str"/>
      <x:c r="J92" s="22" t="str">
        <x:v>CX/250 | CX | CONTEUDO250 | FATOR250</x:v>
      </x:c>
      <x:c r="K92" s="22" t="str">
        <x:v>CAIXA</x:v>
      </x:c>
      <x:c r="L92" s="22" t="str">
        <x:v>SR</x:v>
      </x:c>
      <x:c r="M92" s="28" t="str">
        <x:f>"GTIN: 17842826200017"</x:f>
        <x:v>GTIN: 17842826200017</x:v>
      </x:c>
      <x:c r="N92" s="28" t="str">
        <x:f>"90183119"</x:f>
        <x:v>90183119</x:v>
      </x:c>
      <x:c r="O92" s="29" t="n">
        <x:v>0.37</x:v>
      </x:c>
      <x:c r="P92" s="29" t="n">
        <x:v>0.55</x:v>
      </x:c>
      <x:c r="Q92" s="28" t="str">
        <x:f>"684"</x:f>
        <x:v>684</x:v>
      </x:c>
      <x:c r="R92" s="28" t="str">
        <x:f>"S2S0004"</x:f>
        <x:v>S2S0004</x:v>
      </x:c>
      <x:c r="S92" s="22" t="str">
        <x:v>GTIN repetido em produtos distintos</x:v>
      </x:c>
      <x:c r="T92" s="22" t="str">
        <x:v>SERINGA AG LUER LOCK - 20ML - CAIXA - CX/250 | CX | CONTEUDO250 | FATOR250 - SR</x:v>
      </x:c>
      <x:c r="U92" s="27" t="str"/>
      <x:c r="V92" s="27" t="str"/>
    </x:row>
    <x:row r="93">
      <x:c r="A93" s="28" t="str">
        <x:f>"G-263"</x:f>
        <x:v>G-263</x:v>
      </x:c>
      <x:c r="B93" s="22" t="str">
        <x:v>SERINGA AG LUER LOCK</x:v>
      </x:c>
      <x:c r="C93" s="22" t="str">
        <x:v>ALTO</x:v>
      </x:c>
      <x:c r="D93" s="22" t="str">
        <x:v>REVISAR GTIN repetido; não consolidar automaticamente</x:v>
      </x:c>
      <x:c r="E93" s="28" t="str">
        <x:f>"S2S0005"</x:f>
        <x:v>S2S0005</x:v>
      </x:c>
      <x:c r="F93" s="22" t="str">
        <x:v>SERINGA 5ML S/AG LUER LOCK - CX/500 - SR</x:v>
      </x:c>
      <x:c r="G93" s="22" t="str">
        <x:v>SERINGA AG LUER LOCK</x:v>
      </x:c>
      <x:c r="H93" s="22" t="str">
        <x:v>5ML</x:v>
      </x:c>
      <x:c r="I93" s="22" t="str"/>
      <x:c r="J93" s="22" t="str">
        <x:v>CX/500 | CX | CONTEUDO500 | FATOR500</x:v>
      </x:c>
      <x:c r="K93" s="22" t="str">
        <x:v>CAIXA</x:v>
      </x:c>
      <x:c r="L93" s="22" t="str">
        <x:v>SR</x:v>
      </x:c>
      <x:c r="M93" s="28" t="str">
        <x:f>"GTIN: 17842826200017"</x:f>
        <x:v>GTIN: 17842826200017</x:v>
      </x:c>
      <x:c r="N93" s="28" t="str">
        <x:f>"90183119"</x:f>
        <x:v>90183119</x:v>
      </x:c>
      <x:c r="O93" s="29" t="n">
        <x:v>0.2</x:v>
      </x:c>
      <x:c r="P93" s="29" t="n">
        <x:v>0.55</x:v>
      </x:c>
      <x:c r="Q93" s="28" t="str">
        <x:f>"691"</x:f>
        <x:v>691</x:v>
      </x:c>
      <x:c r="R93" s="28" t="str">
        <x:f>"S2S0005"</x:f>
        <x:v>S2S0005</x:v>
      </x:c>
      <x:c r="S93" s="22" t="str">
        <x:v>GTIN repetido em produtos distintos</x:v>
      </x:c>
      <x:c r="T93" s="22" t="str">
        <x:v>SERINGA AG LUER LOCK - 5ML - CAIXA - CX/500 | CX | CONTEUDO500 | FATOR500 - SR</x:v>
      </x:c>
      <x:c r="U93" s="27" t="str"/>
      <x:c r="V93" s="27" t="str"/>
    </x:row>
    <x:row r="94">
      <x:c r="A94" s="28" t="str">
        <x:f>"G-011"</x:f>
        <x:v>G-011</x:v>
      </x:c>
      <x:c r="B94" s="22" t="str">
        <x:v>AGULHA</x:v>
      </x:c>
      <x:c r="C94" s="22" t="str">
        <x:v>MÉDIO</x:v>
      </x:c>
      <x:c r="D94" s="22" t="str">
        <x:v>MANTER separado como variante/SKU</x:v>
      </x:c>
      <x:c r="E94" s="28" t="str">
        <x:f>"AH20004"</x:f>
        <x:v>AH20004</x:v>
      </x:c>
      <x:c r="F94" s="22" t="str">
        <x:v>AGULHA 20X0,55MM CX/100 LABOR IMPORT</x:v>
      </x:c>
      <x:c r="G94" s="22" t="str">
        <x:v>AGULHA</x:v>
      </x:c>
      <x:c r="H94" s="22" t="str"/>
      <x:c r="I94" s="22" t="str">
        <x:v>20X0,55MM</x:v>
      </x:c>
      <x:c r="J94" s="22" t="str">
        <x:v>CX/100 | CX | CONTEUDO100 | FATOR100</x:v>
      </x:c>
      <x:c r="K94" s="22" t="str">
        <x:v>CAIXA</x:v>
      </x:c>
      <x:c r="L94" s="22" t="str">
        <x:v>LABOR IMPORT</x:v>
      </x:c>
      <x:c r="M94" s="28" t="str">
        <x:f>"GTIN: 7898547244789"</x:f>
        <x:v>GTIN: 7898547244789</x:v>
      </x:c>
      <x:c r="N94" s="28" t="str">
        <x:f>"90183219"</x:f>
        <x:v>90183219</x:v>
      </x:c>
      <x:c r="O94" s="29" t="n">
        <x:v>0.06</x:v>
      </x:c>
      <x:c r="P94" s="29" t="n">
        <x:v>0.08</x:v>
      </x:c>
      <x:c r="Q94" s="28" t="str">
        <x:f>"25"</x:f>
        <x:v>25</x:v>
      </x:c>
      <x:c r="R94" s="28" t="str">
        <x:f>"AH20004"</x:f>
        <x:v>AH20004</x:v>
      </x:c>
      <x:c r="S94" s="22" t="str"/>
      <x:c r="T94" s="22" t="str">
        <x:v>AGULHA - 20X0,55MM - CAIXA - CX/100 | CX | CONTEUDO100 | FATOR100 - LABOR IMPORT</x:v>
      </x:c>
      <x:c r="U94" s="27" t="str"/>
      <x:c r="V94" s="27" t="str"/>
    </x:row>
    <x:row r="95">
      <x:c r="A95" s="28" t="str">
        <x:f>"G-011"</x:f>
        <x:v>G-011</x:v>
      </x:c>
      <x:c r="B95" s="22" t="str">
        <x:v>AGULHA</x:v>
      </x:c>
      <x:c r="C95" s="22" t="str">
        <x:v>MÉDIO</x:v>
      </x:c>
      <x:c r="D95" s="22" t="str">
        <x:v>MANTER separado como variante/SKU</x:v>
      </x:c>
      <x:c r="E95" s="28" t="str">
        <x:f>"A2C0002"</x:f>
        <x:v>A2C0002</x:v>
      </x:c>
      <x:c r="F95" s="22" t="str">
        <x:v>AGULHA 20X5,5MM (24GX3/4) CX/100 - DESCARPACK</x:v>
      </x:c>
      <x:c r="G95" s="22" t="str">
        <x:v>AGULHA</x:v>
      </x:c>
      <x:c r="H95" s="22" t="str"/>
      <x:c r="I95" s="22" t="str">
        <x:v>20X5,5MM | 24GX3/4</x:v>
      </x:c>
      <x:c r="J95" s="22" t="str">
        <x:v>CX/100 | CX | CONTEUDO100 | FATOR100</x:v>
      </x:c>
      <x:c r="K95" s="22" t="str">
        <x:v>CAIXA</x:v>
      </x:c>
      <x:c r="L95" s="22" t="str">
        <x:v>DESCARPACK</x:v>
      </x:c>
      <x:c r="M95" s="28" t="str">
        <x:f>"GTIN: 7898547240903"</x:f>
        <x:v>GTIN: 7898547240903</x:v>
      </x:c>
      <x:c r="N95" s="28" t="str">
        <x:f>"90183219"</x:f>
        <x:v>90183219</x:v>
      </x:c>
      <x:c r="O95" s="29" t="n">
        <x:v>0.06</x:v>
      </x:c>
      <x:c r="P95" s="29" t="n">
        <x:v>0.08</x:v>
      </x:c>
      <x:c r="Q95" s="28" t="str">
        <x:f>"26"</x:f>
        <x:v>26</x:v>
      </x:c>
      <x:c r="R95" s="28" t="str">
        <x:f>"A2C0002"</x:f>
        <x:v>A2C0002</x:v>
      </x:c>
      <x:c r="S95" s="22" t="str">
        <x:v>GTIN repetido em produtos distintos</x:v>
      </x:c>
      <x:c r="T95" s="22" t="str">
        <x:v>AGULHA - 20X5,5MM | 24GX3/4 - CAIXA - CX/100 | CX | CONTEUDO100 | FATOR100 - DESCARPACK</x:v>
      </x:c>
      <x:c r="U95" s="27" t="str"/>
      <x:c r="V95" s="27" t="str"/>
    </x:row>
    <x:row r="96">
      <x:c r="A96" s="28" t="str">
        <x:f>"G-011"</x:f>
        <x:v>G-011</x:v>
      </x:c>
      <x:c r="B96" s="22" t="str">
        <x:v>AGULHA</x:v>
      </x:c>
      <x:c r="C96" s="22" t="str">
        <x:v>MÉDIO</x:v>
      </x:c>
      <x:c r="D96" s="22" t="str">
        <x:v>MANTER separado como variante/SKU</x:v>
      </x:c>
      <x:c r="E96" s="28" t="str">
        <x:f>"A3X0003"</x:f>
        <x:v>A3X0003</x:v>
      </x:c>
      <x:c r="F96" s="22" t="str">
        <x:v>AGULHA 25X0,7MM CX/100 SOLIDOR</x:v>
      </x:c>
      <x:c r="G96" s="22" t="str">
        <x:v>AGULHA</x:v>
      </x:c>
      <x:c r="H96" s="22" t="str"/>
      <x:c r="I96" s="22" t="str">
        <x:v>25X0,7MM</x:v>
      </x:c>
      <x:c r="J96" s="22" t="str">
        <x:v>CX/100 | CX | CONTEUDO100 | FATOR100</x:v>
      </x:c>
      <x:c r="K96" s="22" t="str">
        <x:v>CAIXA</x:v>
      </x:c>
      <x:c r="L96" s="22" t="str">
        <x:v>SOLIDOR</x:v>
      </x:c>
      <x:c r="M96" s="28" t="str">
        <x:f>"GTIN: 818392017915"</x:f>
        <x:v>GTIN: 818392017915</x:v>
      </x:c>
      <x:c r="N96" s="28" t="str">
        <x:f>"90183219"</x:f>
        <x:v>90183219</x:v>
      </x:c>
      <x:c r="O96" s="29" t="n">
        <x:v>0.05</x:v>
      </x:c>
      <x:c r="P96" s="29" t="n">
        <x:v>0.07</x:v>
      </x:c>
      <x:c r="Q96" s="28" t="str">
        <x:f>"28"</x:f>
        <x:v>28</x:v>
      </x:c>
      <x:c r="R96" s="28" t="str">
        <x:f>"A3X0003"</x:f>
        <x:v>A3X0003</x:v>
      </x:c>
      <x:c r="S96" s="22" t="str"/>
      <x:c r="T96" s="22" t="str">
        <x:v>AGULHA - 25X0,7MM - CAIXA - CX/100 | CX | CONTEUDO100 | FATOR100 - SOLIDOR</x:v>
      </x:c>
      <x:c r="U96" s="27" t="str"/>
      <x:c r="V96" s="27" t="str"/>
    </x:row>
    <x:row r="97">
      <x:c r="A97" s="28" t="str">
        <x:f>"G-011"</x:f>
        <x:v>G-011</x:v>
      </x:c>
      <x:c r="B97" s="22" t="str">
        <x:v>AGULHA</x:v>
      </x:c>
      <x:c r="C97" s="22" t="str">
        <x:v>MÉDIO</x:v>
      </x:c>
      <x:c r="D97" s="22" t="str">
        <x:v>MANTER separado como variante/SKU</x:v>
      </x:c>
      <x:c r="E97" s="28" t="str">
        <x:f>"A3X0002"</x:f>
        <x:v>A3X0002</x:v>
      </x:c>
      <x:c r="F97" s="22" t="str">
        <x:v>AGULHA 30X0,8MM CX/100 SOLIDOR</x:v>
      </x:c>
      <x:c r="G97" s="22" t="str">
        <x:v>AGULHA</x:v>
      </x:c>
      <x:c r="H97" s="22" t="str"/>
      <x:c r="I97" s="22" t="str">
        <x:v>30X0,8MM</x:v>
      </x:c>
      <x:c r="J97" s="22" t="str">
        <x:v>CX/100 | CX | CONTEUDO100 | FATOR100</x:v>
      </x:c>
      <x:c r="K97" s="22" t="str">
        <x:v>CAIXA</x:v>
      </x:c>
      <x:c r="L97" s="22" t="str">
        <x:v>SOLIDOR</x:v>
      </x:c>
      <x:c r="M97" s="28" t="str">
        <x:f>"GTIN: 17898157724807"</x:f>
        <x:v>GTIN: 17898157724807</x:v>
      </x:c>
      <x:c r="N97" s="28" t="str">
        <x:f>"90183219"</x:f>
        <x:v>90183219</x:v>
      </x:c>
      <x:c r="O97" s="29" t="n">
        <x:v>0.05</x:v>
      </x:c>
      <x:c r="P97" s="29" t="n">
        <x:v>0.07</x:v>
      </x:c>
      <x:c r="Q97" s="28" t="str">
        <x:f>"30"</x:f>
        <x:v>30</x:v>
      </x:c>
      <x:c r="R97" s="28" t="str">
        <x:f>"A3X0002"</x:f>
        <x:v>A3X0002</x:v>
      </x:c>
      <x:c r="S97" s="22" t="str">
        <x:v>GTIN repetido em produtos distintos</x:v>
      </x:c>
      <x:c r="T97" s="22" t="str">
        <x:v>AGULHA - 30X0,8MM - CAIXA - CX/100 | CX | CONTEUDO100 | FATOR100 - SOLIDOR</x:v>
      </x:c>
      <x:c r="U97" s="27" t="str"/>
      <x:c r="V97" s="27" t="str"/>
    </x:row>
    <x:row r="98">
      <x:c r="A98" s="28" t="str">
        <x:f>"G-011"</x:f>
        <x:v>G-011</x:v>
      </x:c>
      <x:c r="B98" s="22" t="str">
        <x:v>AGULHA</x:v>
      </x:c>
      <x:c r="C98" s="22" t="str">
        <x:v>MÉDIO</x:v>
      </x:c>
      <x:c r="D98" s="22" t="str">
        <x:v>MANTER separado como variante/SKU</x:v>
      </x:c>
      <x:c r="E98" s="28" t="str">
        <x:f>"A3C0001"</x:f>
        <x:v>A3C0001</x:v>
      </x:c>
      <x:c r="F98" s="22" t="str">
        <x:v>AGULHA 30X7,0MM CX/100 - SR</x:v>
      </x:c>
      <x:c r="G98" s="22" t="str">
        <x:v>AGULHA</x:v>
      </x:c>
      <x:c r="H98" s="22" t="str"/>
      <x:c r="I98" s="22" t="str">
        <x:v>30X7,0MM</x:v>
      </x:c>
      <x:c r="J98" s="22" t="str">
        <x:v>CX/100 | CX | CONTEUDO100 | FATOR100</x:v>
      </x:c>
      <x:c r="K98" s="22" t="str">
        <x:v>CAIXA</x:v>
      </x:c>
      <x:c r="L98" s="22" t="str">
        <x:v>SR</x:v>
      </x:c>
      <x:c r="M98" s="28" t="str">
        <x:f>"GTIN: 7898283814246"</x:f>
        <x:v>GTIN: 7898283814246</x:v>
      </x:c>
      <x:c r="N98" s="28" t="str">
        <x:f>"90183219"</x:f>
        <x:v>90183219</x:v>
      </x:c>
      <x:c r="O98" s="29" t="n">
        <x:v>0.03</x:v>
      </x:c>
      <x:c r="P98" s="29" t="n">
        <x:v>0.12</x:v>
      </x:c>
      <x:c r="Q98" s="28" t="str">
        <x:f>"31"</x:f>
        <x:v>31</x:v>
      </x:c>
      <x:c r="R98" s="28" t="str">
        <x:f>"A3C0001"</x:f>
        <x:v>A3C0001</x:v>
      </x:c>
      <x:c r="S98" s="22" t="str">
        <x:v>GTIN repetido em produtos distintos</x:v>
      </x:c>
      <x:c r="T98" s="22" t="str">
        <x:v>AGULHA - 30X7,0MM - CAIXA - CX/100 | CX | CONTEUDO100 | FATOR100 - SR</x:v>
      </x:c>
      <x:c r="U98" s="27" t="str"/>
      <x:c r="V98" s="27" t="str"/>
    </x:row>
    <x:row r="99">
      <x:c r="A99" s="28" t="str">
        <x:f>"G-011"</x:f>
        <x:v>G-011</x:v>
      </x:c>
      <x:c r="B99" s="22" t="str">
        <x:v>AGULHA</x:v>
      </x:c>
      <x:c r="C99" s="22" t="str">
        <x:v>MÉDIO</x:v>
      </x:c>
      <x:c r="D99" s="22" t="str">
        <x:v>MANTER separado como variante/SKU</x:v>
      </x:c>
      <x:c r="E99" s="28" t="str">
        <x:f>"A3C0003"</x:f>
        <x:v>A3C0003</x:v>
      </x:c>
      <x:c r="F99" s="22" t="str">
        <x:v>AGULHA 40X12 (18GX1-1/2) CX/100 - WILTEX</x:v>
      </x:c>
      <x:c r="G99" s="22" t="str">
        <x:v>AGULHA</x:v>
      </x:c>
      <x:c r="H99" s="22" t="str"/>
      <x:c r="I99" s="22" t="str">
        <x:v>40X12 | 18GX1-1/2</x:v>
      </x:c>
      <x:c r="J99" s="22" t="str">
        <x:v>CX/100 | CX | CONTEUDO100 | FATOR100</x:v>
      </x:c>
      <x:c r="K99" s="22" t="str">
        <x:v>CAIXA</x:v>
      </x:c>
      <x:c r="L99" s="22" t="str">
        <x:v>WILTEX</x:v>
      </x:c>
      <x:c r="M99" s="28" t="str"/>
      <x:c r="N99" s="28" t="str">
        <x:f>"90183219"</x:f>
        <x:v>90183219</x:v>
      </x:c>
      <x:c r="O99" s="29" t="n">
        <x:v>0.03</x:v>
      </x:c>
      <x:c r="P99" s="29" t="n">
        <x:v>0.06</x:v>
      </x:c>
      <x:c r="Q99" s="28" t="str">
        <x:f>"32"</x:f>
        <x:v>32</x:v>
      </x:c>
      <x:c r="R99" s="28" t="str">
        <x:f>"A3C0003"</x:f>
        <x:v>A3C0003</x:v>
      </x:c>
      <x:c r="S99" s="22" t="str">
        <x:v>GTIN ausente ou invalido</x:v>
      </x:c>
      <x:c r="T99" s="22" t="str">
        <x:v>AGULHA - 40X12 | 18GX1-1/2 - CAIXA - CX/100 | CX | CONTEUDO100 | FATOR100 - WILTEX</x:v>
      </x:c>
      <x:c r="U99" s="27" t="str"/>
      <x:c r="V99" s="27" t="str"/>
    </x:row>
    <x:row r="100">
      <x:c r="A100" s="28" t="str">
        <x:f>"G-228"</x:f>
        <x:v>G-228</x:v>
      </x:c>
      <x:c r="B100" s="22" t="str">
        <x:v>MIDAZOLAM</x:v>
      </x:c>
      <x:c r="C100" s="22" t="str">
        <x:v>MÉDIO</x:v>
      </x:c>
      <x:c r="D100" s="22" t="str">
        <x:v>MANTER separado como variante/SKU</x:v>
      </x:c>
      <x:c r="E100" s="28" t="str">
        <x:f>"M1A0004"</x:f>
        <x:v>M1A0004</x:v>
      </x:c>
      <x:c r="F100" s="22" t="str">
        <x:v>MIDAZOLAM 15MG/3ML AP - HIPOLABOR</x:v>
      </x:c>
      <x:c r="G100" s="22" t="str">
        <x:v>MIDAZOLAM</x:v>
      </x:c>
      <x:c r="H100" s="22" t="str">
        <x:v>15MG/3ML | 15MG | 3ML</x:v>
      </x:c>
      <x:c r="I100" s="22" t="str"/>
      <x:c r="J100" s="22" t="str">
        <x:v>AP | UN</x:v>
      </x:c>
      <x:c r="K100" s="22" t="str">
        <x:v>UNIDADE</x:v>
      </x:c>
      <x:c r="L100" s="22" t="str">
        <x:v>HIPOLABOR</x:v>
      </x:c>
      <x:c r="M100" s="28" t="str"/>
      <x:c r="N100" s="28" t="str">
        <x:f>"30049069"</x:f>
        <x:v>30049069</x:v>
      </x:c>
      <x:c r="O100" s="29" t="n">
        <x:v>1.98</x:v>
      </x:c>
      <x:c r="P100" s="29" t="n">
        <x:v>0</x:v>
      </x:c>
      <x:c r="Q100" s="28" t="str">
        <x:f>"607"</x:f>
        <x:v>607</x:v>
      </x:c>
      <x:c r="R100" s="28" t="str">
        <x:f>"M1A0004"</x:f>
        <x:v>M1A0004</x:v>
      </x:c>
      <x:c r="S100" s="22" t="str">
        <x:v>GTIN ausente ou invalido</x:v>
      </x:c>
      <x:c r="T100" s="22" t="str">
        <x:v>MIDAZOLAM - 15MG/3ML | 15MG | 3ML - UNIDADE - AP | UN - HIPOLABOR</x:v>
      </x:c>
      <x:c r="U100" s="27" t="str"/>
      <x:c r="V100" s="27" t="str"/>
    </x:row>
    <x:row r="101">
      <x:c r="A101" s="28" t="str">
        <x:f>"G-228"</x:f>
        <x:v>G-228</x:v>
      </x:c>
      <x:c r="B101" s="22" t="str">
        <x:v>MIDAZOLAM</x:v>
      </x:c>
      <x:c r="C101" s="22" t="str">
        <x:v>MÉDIO</x:v>
      </x:c>
      <x:c r="D101" s="22" t="str">
        <x:v>MANTER separado como variante/SKU</x:v>
      </x:c>
      <x:c r="E101" s="28" t="str">
        <x:f>"M1A0001"</x:f>
        <x:v>M1A0001</x:v>
      </x:c>
      <x:c r="F101" s="22" t="str">
        <x:v>MIDAZOLAM 15MG/3ML AP - TEUTO</x:v>
      </x:c>
      <x:c r="G101" s="22" t="str">
        <x:v>MIDAZOLAM</x:v>
      </x:c>
      <x:c r="H101" s="22" t="str">
        <x:v>15MG/3ML | 15MG | 3ML</x:v>
      </x:c>
      <x:c r="I101" s="22" t="str"/>
      <x:c r="J101" s="22" t="str">
        <x:v>AP | UN</x:v>
      </x:c>
      <x:c r="K101" s="22" t="str">
        <x:v>UNIDADE</x:v>
      </x:c>
      <x:c r="L101" s="22" t="str">
        <x:v>TEUTO</x:v>
      </x:c>
      <x:c r="M101" s="28" t="str"/>
      <x:c r="N101" s="28" t="str">
        <x:f>"30049069"</x:f>
        <x:v>30049069</x:v>
      </x:c>
      <x:c r="O101" s="29" t="n">
        <x:v>1.87</x:v>
      </x:c>
      <x:c r="P101" s="29" t="n">
        <x:v>0</x:v>
      </x:c>
      <x:c r="Q101" s="28" t="str">
        <x:f>"608 | 609"</x:f>
        <x:v>608 | 609</x:v>
      </x:c>
      <x:c r="R101" s="28" t="str">
        <x:f>"M1A0001 | M1A0002"</x:f>
        <x:v>M1A0001 | M1A0002</x:v>
      </x:c>
      <x:c r="S101" s="22" t="str">
        <x:v>varios codigos legados consolidados em um produto; GTIN ausente ou invalido</x:v>
      </x:c>
      <x:c r="T101" s="22" t="str">
        <x:v>MIDAZOLAM - 15MG/3ML | 15MG | 3ML - UNIDADE - AP | UN - TEUTO</x:v>
      </x:c>
      <x:c r="U101" s="27" t="str"/>
      <x:c r="V101" s="27" t="str"/>
    </x:row>
    <x:row r="102">
      <x:c r="A102" s="28" t="str">
        <x:f>"G-228"</x:f>
        <x:v>G-228</x:v>
      </x:c>
      <x:c r="B102" s="22" t="str">
        <x:v>MIDAZOLAM</x:v>
      </x:c>
      <x:c r="C102" s="22" t="str">
        <x:v>MÉDIO</x:v>
      </x:c>
      <x:c r="D102" s="22" t="str">
        <x:v>MANTER separado como variante/SKU</x:v>
      </x:c>
      <x:c r="E102" s="28" t="str">
        <x:f>"M150002"</x:f>
        <x:v>M150002</x:v>
      </x:c>
      <x:c r="F102" s="22" t="str">
        <x:v>MIDAZOLAM 15MG/ML 3ML AP CX/05 - UNIÃO QUIMICA</x:v>
      </x:c>
      <x:c r="G102" s="22" t="str">
        <x:v>MIDAZOLAM</x:v>
      </x:c>
      <x:c r="H102" s="22" t="str">
        <x:v>15MG/ML | 15MG | 3ML</x:v>
      </x:c>
      <x:c r="I102" s="22" t="str"/>
      <x:c r="J102" s="22" t="str">
        <x:v>AP | CX/05 | CX | CONTEUDO5 | FATOR5</x:v>
      </x:c>
      <x:c r="K102" s="22" t="str">
        <x:v>CAIXA</x:v>
      </x:c>
      <x:c r="L102" s="22" t="str">
        <x:v>UNIÃO QUIMICA</x:v>
      </x:c>
      <x:c r="M102" s="28" t="str"/>
      <x:c r="N102" s="28" t="str">
        <x:f>"30049069"</x:f>
        <x:v>30049069</x:v>
      </x:c>
      <x:c r="O102" s="29" t="n">
        <x:v>1.87</x:v>
      </x:c>
      <x:c r="P102" s="29" t="n">
        <x:v>0</x:v>
      </x:c>
      <x:c r="Q102" s="28" t="str">
        <x:f>"610"</x:f>
        <x:v>610</x:v>
      </x:c>
      <x:c r="R102" s="28" t="str">
        <x:f>"M150002"</x:f>
        <x:v>M150002</x:v>
      </x:c>
      <x:c r="S102" s="22" t="str">
        <x:v>GTIN ausente ou invalido</x:v>
      </x:c>
      <x:c r="T102" s="22" t="str">
        <x:v>MIDAZOLAM - 15MG/ML | 15MG | 3ML - CAIXA - AP | CX/05 | CX | CONTEUDO5 | FATOR5 - UNIÃO QUIMICA</x:v>
      </x:c>
      <x:c r="U102" s="27" t="str"/>
      <x:c r="V102" s="27" t="str"/>
    </x:row>
    <x:row r="103">
      <x:c r="A103" s="28" t="str">
        <x:f>"G-228"</x:f>
        <x:v>G-228</x:v>
      </x:c>
      <x:c r="B103" s="22" t="str">
        <x:v>MIDAZOLAM</x:v>
      </x:c>
      <x:c r="C103" s="22" t="str">
        <x:v>MÉDIO</x:v>
      </x:c>
      <x:c r="D103" s="22" t="str">
        <x:v>MANTER separado como variante/SKU</x:v>
      </x:c>
      <x:c r="E103" s="28" t="str">
        <x:f>"M1A0003"</x:f>
        <x:v>M1A0003</x:v>
      </x:c>
      <x:c r="F103" s="22" t="str">
        <x:v>MIDAZOLAM 1MG/ML 5ML AP CX/05 - TEUTO</x:v>
      </x:c>
      <x:c r="G103" s="22" t="str">
        <x:v>MIDAZOLAM</x:v>
      </x:c>
      <x:c r="H103" s="22" t="str">
        <x:v>1MG/ML | 1MG | 5ML</x:v>
      </x:c>
      <x:c r="I103" s="22" t="str"/>
      <x:c r="J103" s="22" t="str">
        <x:v>AP | CX/05 | CX | CONTEUDO5 | FATOR5</x:v>
      </x:c>
      <x:c r="K103" s="22" t="str">
        <x:v>CAIXA</x:v>
      </x:c>
      <x:c r="L103" s="22" t="str">
        <x:v>TEUTO</x:v>
      </x:c>
      <x:c r="M103" s="28" t="str"/>
      <x:c r="N103" s="28" t="str">
        <x:f>"30049069"</x:f>
        <x:v>30049069</x:v>
      </x:c>
      <x:c r="O103" s="29" t="n">
        <x:v>1.87</x:v>
      </x:c>
      <x:c r="P103" s="29" t="n">
        <x:v>0</x:v>
      </x:c>
      <x:c r="Q103" s="28" t="str">
        <x:f>"611"</x:f>
        <x:v>611</x:v>
      </x:c>
      <x:c r="R103" s="28" t="str">
        <x:f>"M1A0003"</x:f>
        <x:v>M1A0003</x:v>
      </x:c>
      <x:c r="S103" s="22" t="str">
        <x:v>GTIN ausente ou invalido</x:v>
      </x:c>
      <x:c r="T103" s="22" t="str">
        <x:v>MIDAZOLAM - 1MG/ML | 1MG | 5ML - CAIXA - AP | CX/05 | CX | CONTEUDO5 | FATOR5 - TEUTO</x:v>
      </x:c>
      <x:c r="U103" s="27" t="str"/>
      <x:c r="V103" s="27" t="str"/>
    </x:row>
    <x:row r="104">
      <x:c r="A104" s="28" t="str">
        <x:f>"G-228"</x:f>
        <x:v>G-228</x:v>
      </x:c>
      <x:c r="B104" s="22" t="str">
        <x:v>MIDAZOLAM</x:v>
      </x:c>
      <x:c r="C104" s="22" t="str">
        <x:v>MÉDIO</x:v>
      </x:c>
      <x:c r="D104" s="22" t="str">
        <x:v>MANTER separado como variante/SKU</x:v>
      </x:c>
      <x:c r="E104" s="28" t="str">
        <x:f>"M150001"</x:f>
        <x:v>M150001</x:v>
      </x:c>
      <x:c r="F104" s="22" t="str">
        <x:v>MIDAZOLAM 50MG/ML 10ML AP CX/05 - TEUTO</x:v>
      </x:c>
      <x:c r="G104" s="22" t="str">
        <x:v>MIDAZOLAM</x:v>
      </x:c>
      <x:c r="H104" s="22" t="str">
        <x:v>50MG/ML | 50MG | 10ML</x:v>
      </x:c>
      <x:c r="I104" s="22" t="str"/>
      <x:c r="J104" s="22" t="str">
        <x:v>AP | CX/05 | CX | CONTEUDO5 | FATOR5</x:v>
      </x:c>
      <x:c r="K104" s="22" t="str">
        <x:v>CAIXA</x:v>
      </x:c>
      <x:c r="L104" s="22" t="str">
        <x:v>TEUTO</x:v>
      </x:c>
      <x:c r="M104" s="28" t="str"/>
      <x:c r="N104" s="28" t="str">
        <x:f>"30049069"</x:f>
        <x:v>30049069</x:v>
      </x:c>
      <x:c r="O104" s="29" t="n">
        <x:v>1.87</x:v>
      </x:c>
      <x:c r="P104" s="29" t="n">
        <x:v>0</x:v>
      </x:c>
      <x:c r="Q104" s="28" t="str">
        <x:f>"612"</x:f>
        <x:v>612</x:v>
      </x:c>
      <x:c r="R104" s="28" t="str">
        <x:f>"M150001"</x:f>
        <x:v>M150001</x:v>
      </x:c>
      <x:c r="S104" s="22" t="str">
        <x:v>GTIN ausente ou invalido</x:v>
      </x:c>
      <x:c r="T104" s="22" t="str">
        <x:v>MIDAZOLAM - 50MG/ML | 50MG | 10ML - CAIXA - AP | CX/05 | CX | CONTEUDO5 | FATOR5 - TEUTO</x:v>
      </x:c>
      <x:c r="U104" s="27" t="str"/>
      <x:c r="V104" s="27" t="str"/>
    </x:row>
    <x:row r="105">
      <x:c r="A105" s="28" t="str">
        <x:f>"G-280"</x:f>
        <x:v>G-280</x:v>
      </x:c>
      <x:c r="B105" s="22" t="str">
        <x:v>SUGAMADEX BRIDION</x:v>
      </x:c>
      <x:c r="C105" s="22" t="str">
        <x:v>MÉDIO</x:v>
      </x:c>
      <x:c r="D105" s="22" t="str">
        <x:v>MANTER separado como variante/SKU</x:v>
      </x:c>
      <x:c r="E105" s="28" t="str">
        <x:f>"SB10005"</x:f>
        <x:v>SB10005</x:v>
      </x:c>
      <x:c r="F105" s="22" t="str">
        <x:v>SUGAMADEX BRIDION 100MG/2ML - CX/10 - MSD</x:v>
      </x:c>
      <x:c r="G105" s="22" t="str">
        <x:v>SUGAMADEX BRIDION</x:v>
      </x:c>
      <x:c r="H105" s="22" t="str">
        <x:v>100MG/2ML | 100MG | 2ML</x:v>
      </x:c>
      <x:c r="I105" s="22" t="str"/>
      <x:c r="J105" s="22" t="str">
        <x:v>CX/10 | CX | CONTEUDO10 | FATOR10</x:v>
      </x:c>
      <x:c r="K105" s="22" t="str">
        <x:v>CAIXA</x:v>
      </x:c>
      <x:c r="L105" s="22" t="str">
        <x:v>MSD</x:v>
      </x:c>
      <x:c r="M105" s="28" t="str"/>
      <x:c r="N105" s="28" t="str">
        <x:f>"30049059"</x:f>
        <x:v>30049059</x:v>
      </x:c>
      <x:c r="O105" s="29" t="n">
        <x:v>25</x:v>
      </x:c>
      <x:c r="P105" s="29" t="n">
        <x:v>54.5</x:v>
      </x:c>
      <x:c r="Q105" s="28" t="str">
        <x:f>"746 | 747"</x:f>
        <x:v>746 | 747</x:v>
      </x:c>
      <x:c r="R105" s="28" t="str">
        <x:f>"SB10005 | SB10004"</x:f>
        <x:v>SB10005 | SB10004</x:v>
      </x:c>
      <x:c r="S105" s="22" t="str">
        <x:v>varios codigos legados consolidados em um produto; GTIN ausente ou invalido</x:v>
      </x:c>
      <x:c r="T105" s="22" t="str">
        <x:v>SUGAMADEX BRIDION - 100MG/2ML | 100MG | 2ML - CAIXA - CX/10 | CX | CONTEUDO10 | FATOR10 - MSD</x:v>
      </x:c>
      <x:c r="U105" s="27" t="str"/>
      <x:c r="V105" s="27" t="str"/>
    </x:row>
    <x:row r="106">
      <x:c r="A106" s="28" t="str">
        <x:f>"G-280"</x:f>
        <x:v>G-280</x:v>
      </x:c>
      <x:c r="B106" s="22" t="str">
        <x:v>SUGAMADEX BRIDION</x:v>
      </x:c>
      <x:c r="C106" s="22" t="str">
        <x:v>MÉDIO</x:v>
      </x:c>
      <x:c r="D106" s="22" t="str">
        <x:v>MANTER separado como variante/SKU</x:v>
      </x:c>
      <x:c r="E106" s="28" t="str">
        <x:f>"SB10024"</x:f>
        <x:v>SB10024</x:v>
      </x:c>
      <x:c r="F106" s="22" t="str">
        <x:v>SUGAMADEX BRIDION 100MG/2ML - CX/10 - UNIAO QUIMICA</x:v>
      </x:c>
      <x:c r="G106" s="22" t="str">
        <x:v>SUGAMADEX BRIDION</x:v>
      </x:c>
      <x:c r="H106" s="22" t="str">
        <x:v>100MG/2ML | 100MG | 2ML</x:v>
      </x:c>
      <x:c r="I106" s="22" t="str"/>
      <x:c r="J106" s="22" t="str">
        <x:v>CX/10 | CX | CONTEUDO10 | FATOR10</x:v>
      </x:c>
      <x:c r="K106" s="22" t="str">
        <x:v>CAIXA</x:v>
      </x:c>
      <x:c r="L106" s="22" t="str">
        <x:v>UNIAO QUIMICA</x:v>
      </x:c>
      <x:c r="M106" s="28" t="str"/>
      <x:c r="N106" s="28" t="str">
        <x:f>"30049059"</x:f>
        <x:v>30049059</x:v>
      </x:c>
      <x:c r="O106" s="29" t="n">
        <x:v>25</x:v>
      </x:c>
      <x:c r="P106" s="29" t="n">
        <x:v>54.5</x:v>
      </x:c>
      <x:c r="Q106" s="28" t="str">
        <x:f>"748"</x:f>
        <x:v>748</x:v>
      </x:c>
      <x:c r="R106" s="28" t="str">
        <x:f>"SB10024"</x:f>
        <x:v>SB10024</x:v>
      </x:c>
      <x:c r="S106" s="22" t="str">
        <x:v>GTIN ausente ou invalido</x:v>
      </x:c>
      <x:c r="T106" s="22" t="str">
        <x:v>SUGAMADEX BRIDION - 100MG/2ML | 100MG | 2ML - CAIXA - CX/10 | CX | CONTEUDO10 | FATOR10 - UNIAO QUIMICA</x:v>
      </x:c>
      <x:c r="U106" s="27" t="str"/>
      <x:c r="V106" s="27" t="str"/>
    </x:row>
    <x:row r="107">
      <x:c r="A107" s="28" t="str">
        <x:f>"G-280"</x:f>
        <x:v>G-280</x:v>
      </x:c>
      <x:c r="B107" s="22" t="str">
        <x:v>SUGAMADEX BRIDION</x:v>
      </x:c>
      <x:c r="C107" s="22" t="str">
        <x:v>MÉDIO</x:v>
      </x:c>
      <x:c r="D107" s="22" t="str">
        <x:v>MANTER separado como variante/SKU</x:v>
      </x:c>
      <x:c r="E107" s="28" t="str">
        <x:f>"SB10017"</x:f>
        <x:v>SB10017</x:v>
      </x:c>
      <x:c r="F107" s="22" t="str">
        <x:v>SUGAMADEX BRIDION 100MG/2ML - DR REDDY</x:v>
      </x:c>
      <x:c r="G107" s="22" t="str">
        <x:v>SUGAMADEX BRIDION</x:v>
      </x:c>
      <x:c r="H107" s="22" t="str">
        <x:v>100MG/2ML | 100MG | 2ML</x:v>
      </x:c>
      <x:c r="I107" s="22" t="str"/>
      <x:c r="J107" s="22" t="str">
        <x:v>UND</x:v>
      </x:c>
      <x:c r="K107" s="22" t="str">
        <x:v>UNIDADE</x:v>
      </x:c>
      <x:c r="L107" s="22" t="str">
        <x:v>DR REDDY</x:v>
      </x:c>
      <x:c r="M107" s="28" t="str"/>
      <x:c r="N107" s="28" t="str">
        <x:f>"30049059"</x:f>
        <x:v>30049059</x:v>
      </x:c>
      <x:c r="O107" s="29" t="n">
        <x:v>15</x:v>
      </x:c>
      <x:c r="P107" s="29" t="n">
        <x:v>54.5</x:v>
      </x:c>
      <x:c r="Q107" s="28" t="str">
        <x:f>"751"</x:f>
        <x:v>751</x:v>
      </x:c>
      <x:c r="R107" s="28" t="str">
        <x:f>"SB10017"</x:f>
        <x:v>SB10017</x:v>
      </x:c>
      <x:c r="S107" s="22" t="str">
        <x:v>GTIN ausente ou invalido</x:v>
      </x:c>
      <x:c r="T107" s="22" t="str">
        <x:v>SUGAMADEX BRIDION - 100MG/2ML | 100MG | 2ML - UNIDADE - UND - DR REDDY</x:v>
      </x:c>
      <x:c r="U107" s="27" t="str"/>
      <x:c r="V107" s="27" t="str"/>
    </x:row>
    <x:row r="108">
      <x:c r="A108" s="28" t="str">
        <x:f>"G-280"</x:f>
        <x:v>G-280</x:v>
      </x:c>
      <x:c r="B108" s="22" t="str">
        <x:v>SUGAMADEX BRIDION</x:v>
      </x:c>
      <x:c r="C108" s="22" t="str">
        <x:v>MÉDIO</x:v>
      </x:c>
      <x:c r="D108" s="22" t="str">
        <x:v>MANTER separado como variante/SKU</x:v>
      </x:c>
      <x:c r="E108" s="28" t="str">
        <x:f>"SB10002"</x:f>
        <x:v>SB10002</x:v>
      </x:c>
      <x:c r="F108" s="22" t="str">
        <x:v>SUGAMADEX BRIDION 100MG/2ML - DR REDDY - CX/10</x:v>
      </x:c>
      <x:c r="G108" s="22" t="str">
        <x:v>SUGAMADEX BRIDION</x:v>
      </x:c>
      <x:c r="H108" s="22" t="str">
        <x:v>100MG/2ML | 100MG | 2ML</x:v>
      </x:c>
      <x:c r="I108" s="22" t="str"/>
      <x:c r="J108" s="22" t="str">
        <x:v>CX/10 | CX | CONTEUDO10 | FATOR10</x:v>
      </x:c>
      <x:c r="K108" s="22" t="str">
        <x:v>CAIXA</x:v>
      </x:c>
      <x:c r="L108" s="22" t="str">
        <x:v>DR REDDY</x:v>
      </x:c>
      <x:c r="M108" s="28" t="str"/>
      <x:c r="N108" s="28" t="str">
        <x:f>"30049059"</x:f>
        <x:v>30049059</x:v>
      </x:c>
      <x:c r="O108" s="29" t="n">
        <x:v>14</x:v>
      </x:c>
      <x:c r="P108" s="29" t="n">
        <x:v>54.5</x:v>
      </x:c>
      <x:c r="Q108" s="28" t="str">
        <x:f>"749 | 750"</x:f>
        <x:v>749 | 750</x:v>
      </x:c>
      <x:c r="R108" s="28" t="str">
        <x:f>"SB10002 | SB10025"</x:f>
        <x:v>SB10002 | SB10025</x:v>
      </x:c>
      <x:c r="S108" s="22" t="str">
        <x:v>varios codigos legados consolidados em um produto; GTIN ausente ou invalido</x:v>
      </x:c>
      <x:c r="T108" s="22" t="str">
        <x:v>SUGAMADEX BRIDION - 100MG/2ML | 100MG | 2ML - CAIXA - CX/10 | CX | CONTEUDO10 | FATOR10 - DR REDDY</x:v>
      </x:c>
      <x:c r="U108" s="27" t="str"/>
      <x:c r="V108" s="27" t="str"/>
    </x:row>
    <x:row r="109">
      <x:c r="A109" s="28" t="str">
        <x:f>"G-280"</x:f>
        <x:v>G-280</x:v>
      </x:c>
      <x:c r="B109" s="22" t="str">
        <x:v>SUGAMADEX BRIDION</x:v>
      </x:c>
      <x:c r="C109" s="22" t="str">
        <x:v>MÉDIO</x:v>
      </x:c>
      <x:c r="D109" s="22" t="str">
        <x:v>MANTER separado como variante/SKU</x:v>
      </x:c>
      <x:c r="E109" s="28" t="str">
        <x:f>"SB10003"</x:f>
        <x:v>SB10003</x:v>
      </x:c>
      <x:c r="F109" s="22" t="str">
        <x:v>SUGAMADEX BRIDION 100MG/2ML CX/10 - BLAU</x:v>
      </x:c>
      <x:c r="G109" s="22" t="str">
        <x:v>SUGAMADEX BRIDION</x:v>
      </x:c>
      <x:c r="H109" s="22" t="str">
        <x:v>100MG/2ML | 100MG | 2ML</x:v>
      </x:c>
      <x:c r="I109" s="22" t="str"/>
      <x:c r="J109" s="22" t="str">
        <x:v>CX/10 | UND</x:v>
      </x:c>
      <x:c r="K109" s="22" t="str">
        <x:v>UNIDADE</x:v>
      </x:c>
      <x:c r="L109" s="22" t="str">
        <x:v>BLAU</x:v>
      </x:c>
      <x:c r="M109" s="28" t="str">
        <x:f>"GTIN: 7896014689170"</x:f>
        <x:v>GTIN: 7896014689170</x:v>
      </x:c>
      <x:c r="N109" s="28" t="str">
        <x:f>"30049059"</x:f>
        <x:v>30049059</x:v>
      </x:c>
      <x:c r="O109" s="29" t="n">
        <x:v>15</x:v>
      </x:c>
      <x:c r="P109" s="29" t="n">
        <x:v>52.5</x:v>
      </x:c>
      <x:c r="Q109" s="28" t="str">
        <x:f>"752 | 753"</x:f>
        <x:v>752 | 753</x:v>
      </x:c>
      <x:c r="R109" s="28" t="str">
        <x:f>"SB10003 | SB10001"</x:f>
        <x:v>SB10003 | SB10001</x:v>
      </x:c>
      <x:c r="S109" s="22" t="str">
        <x:v>varios codigos legados consolidados em um produto</x:v>
      </x:c>
      <x:c r="T109" s="22" t="str">
        <x:v>SUGAMADEX BRIDION - 100MG/2ML | 100MG | 2ML - UNIDADE - CX/10 | UND - BLAU</x:v>
      </x:c>
      <x:c r="U109" s="27" t="str"/>
      <x:c r="V109" s="27" t="str"/>
    </x:row>
    <x:row r="110">
      <x:c r="A110" s="28" t="str">
        <x:f>"G-102"</x:f>
        <x:v>G-102</x:v>
      </x:c>
      <x:c r="B110" s="22" t="str">
        <x:v>CLORIDRATO VANCOMICINA</x:v>
      </x:c>
      <x:c r="C110" s="22" t="str">
        <x:v>MÉDIO</x:v>
      </x:c>
      <x:c r="D110" s="22" t="str">
        <x:v>MANTER separado como variante/SKU</x:v>
      </x:c>
      <x:c r="E110" s="28" t="str">
        <x:f>"CV10002"</x:f>
        <x:v>CV10002</x:v>
      </x:c>
      <x:c r="F110" s="22" t="str">
        <x:v>CLORIDRATO DE VANCOMICINA 1G - CX/25 - ABL</x:v>
      </x:c>
      <x:c r="G110" s="22" t="str">
        <x:v>CLORIDRATO VANCOMICINA</x:v>
      </x:c>
      <x:c r="H110" s="22" t="str">
        <x:v>1G</x:v>
      </x:c>
      <x:c r="I110" s="22" t="str">
        <x:v>1G</x:v>
      </x:c>
      <x:c r="J110" s="22" t="str">
        <x:v>CX/25 | CX | CONTEUDO25 | FATOR25</x:v>
      </x:c>
      <x:c r="K110" s="22" t="str">
        <x:v>CAIXA</x:v>
      </x:c>
      <x:c r="L110" s="22" t="str">
        <x:v>ABL</x:v>
      </x:c>
      <x:c r="M110" s="28" t="str">
        <x:f>"GTIN: 7898901848455"</x:f>
        <x:v>GTIN: 7898901848455</x:v>
      </x:c>
      <x:c r="N110" s="28" t="str">
        <x:f>"30042071"</x:f>
        <x:v>30042071</x:v>
      </x:c>
      <x:c r="O110" s="29" t="n">
        <x:v>2</x:v>
      </x:c>
      <x:c r="P110" s="29" t="n">
        <x:v>5.5</x:v>
      </x:c>
      <x:c r="Q110" s="28" t="str">
        <x:f>"317"</x:f>
        <x:v>317</x:v>
      </x:c>
      <x:c r="R110" s="28" t="str">
        <x:f>"CV10002"</x:f>
        <x:v>CV10002</x:v>
      </x:c>
      <x:c r="S110" s="22" t="str"/>
      <x:c r="T110" s="22" t="str">
        <x:v>CLORIDRATO VANCOMICINA - 1G - CAIXA - CX/25 | CX | CONTEUDO25 | FATOR25 - ABL</x:v>
      </x:c>
      <x:c r="U110" s="27" t="str"/>
      <x:c r="V110" s="27" t="str"/>
    </x:row>
    <x:row r="111">
      <x:c r="A111" s="28" t="str">
        <x:f>"G-102"</x:f>
        <x:v>G-102</x:v>
      </x:c>
      <x:c r="B111" s="22" t="str">
        <x:v>CLORIDRATO VANCOMICINA</x:v>
      </x:c>
      <x:c r="C111" s="22" t="str">
        <x:v>MÉDIO</x:v>
      </x:c>
      <x:c r="D111" s="22" t="str">
        <x:v>MANTER separado como variante/SKU</x:v>
      </x:c>
      <x:c r="E111" s="28" t="str">
        <x:f>"CV50014"</x:f>
        <x:v>CV50014</x:v>
      </x:c>
      <x:c r="F111" s="22" t="str">
        <x:v>CLORIDRATO DE VANCOMICINA 500MG - CX/20 - BLAU</x:v>
      </x:c>
      <x:c r="G111" s="22" t="str">
        <x:v>CLORIDRATO VANCOMICINA</x:v>
      </x:c>
      <x:c r="H111" s="22" t="str">
        <x:v>500MG</x:v>
      </x:c>
      <x:c r="I111" s="22" t="str"/>
      <x:c r="J111" s="22" t="str">
        <x:v>CX/20 | CX | CONTEUDO20 | FATOR20</x:v>
      </x:c>
      <x:c r="K111" s="22" t="str">
        <x:v>CAIXA</x:v>
      </x:c>
      <x:c r="L111" s="22" t="str">
        <x:v>BLAU</x:v>
      </x:c>
      <x:c r="M111" s="28" t="str"/>
      <x:c r="N111" s="28" t="str">
        <x:f>"30042071"</x:f>
        <x:v>30042071</x:v>
      </x:c>
      <x:c r="O111" s="29" t="n">
        <x:v>3.5</x:v>
      </x:c>
      <x:c r="P111" s="29" t="n">
        <x:v>7.8</x:v>
      </x:c>
      <x:c r="Q111" s="28" t="str">
        <x:f>"318 | 319 | 320"</x:f>
        <x:v>318 | 319 | 320</x:v>
      </x:c>
      <x:c r="R111" s="28" t="str">
        <x:f>"CV50003 | CV50014 | CV50019"</x:f>
        <x:v>CV50003 | CV50014 | CV50019</x:v>
      </x:c>
      <x:c r="S111" s="22" t="str">
        <x:v>varios codigos legados consolidados em um produto; mais de um GTIN no mesmo produto</x:v>
      </x:c>
      <x:c r="T111" s="22" t="str">
        <x:v>CLORIDRATO VANCOMICINA - 500MG - CAIXA - CX/20 | CX | CONTEUDO20 | FATOR20 - BLAU</x:v>
      </x:c>
      <x:c r="U111" s="27" t="str"/>
      <x:c r="V111" s="27" t="str"/>
    </x:row>
    <x:row r="112">
      <x:c r="A112" s="28" t="str">
        <x:f>"G-102"</x:f>
        <x:v>G-102</x:v>
      </x:c>
      <x:c r="B112" s="22" t="str">
        <x:v>CLORIDRATO VANCOMICINA</x:v>
      </x:c>
      <x:c r="C112" s="22" t="str">
        <x:v>MÉDIO</x:v>
      </x:c>
      <x:c r="D112" s="22" t="str">
        <x:v>MANTER separado como variante/SKU</x:v>
      </x:c>
      <x:c r="E112" s="28" t="str">
        <x:f>"CV50002"</x:f>
        <x:v>CV50002</x:v>
      </x:c>
      <x:c r="F112" s="22" t="str">
        <x:v>CLORIDRATO DE VANCOMICINA 500MG - CX/25 - ABL</x:v>
      </x:c>
      <x:c r="G112" s="22" t="str">
        <x:v>CLORIDRATO VANCOMICINA</x:v>
      </x:c>
      <x:c r="H112" s="22" t="str">
        <x:v>500MG</x:v>
      </x:c>
      <x:c r="I112" s="22" t="str"/>
      <x:c r="J112" s="22" t="str">
        <x:v>CX/25 | CX | CONTEUDO25 | FATOR25</x:v>
      </x:c>
      <x:c r="K112" s="22" t="str">
        <x:v>CAIXA</x:v>
      </x:c>
      <x:c r="L112" s="22" t="str">
        <x:v>ABL</x:v>
      </x:c>
      <x:c r="M112" s="28" t="str"/>
      <x:c r="N112" s="28" t="str">
        <x:f>"30042071"</x:f>
        <x:v>30042071</x:v>
      </x:c>
      <x:c r="O112" s="29" t="n">
        <x:v>2</x:v>
      </x:c>
      <x:c r="P112" s="29" t="n">
        <x:v>5.5</x:v>
      </x:c>
      <x:c r="Q112" s="28" t="str">
        <x:f>"321 | 322 | 323"</x:f>
        <x:v>321 | 322 | 323</x:v>
      </x:c>
      <x:c r="R112" s="28" t="str">
        <x:f>"CV50002 | CV10001 | CV50001"</x:f>
        <x:v>CV50002 | CV10001 | CV50001</x:v>
      </x:c>
      <x:c r="S112" s="22" t="str">
        <x:v>varios codigos legados consolidados em um produto; GTIN ausente ou invalido</x:v>
      </x:c>
      <x:c r="T112" s="22" t="str">
        <x:v>CLORIDRATO VANCOMICINA - 500MG - CAIXA - CX/25 | CX | CONTEUDO25 | FATOR25 - ABL</x:v>
      </x:c>
      <x:c r="U112" s="27" t="str"/>
      <x:c r="V112" s="27" t="str"/>
    </x:row>
    <x:row r="113">
      <x:c r="A113" s="28" t="str">
        <x:f>"G-102"</x:f>
        <x:v>G-102</x:v>
      </x:c>
      <x:c r="B113" s="22" t="str">
        <x:v>CLORIDRATO VANCOMICINA</x:v>
      </x:c>
      <x:c r="C113" s="22" t="str">
        <x:v>MÉDIO</x:v>
      </x:c>
      <x:c r="D113" s="22" t="str">
        <x:v>MANTER separado como variante/SKU</x:v>
      </x:c>
      <x:c r="E113" s="28" t="str">
        <x:f>"CV50017"</x:f>
        <x:v>CV50017</x:v>
      </x:c>
      <x:c r="F113" s="22" t="str">
        <x:v>CLORIDRATO DE VANCOMICINA 500MG CX/50 - TEUTO</x:v>
      </x:c>
      <x:c r="G113" s="22" t="str">
        <x:v>CLORIDRATO VANCOMICINA</x:v>
      </x:c>
      <x:c r="H113" s="22" t="str">
        <x:v>500MG</x:v>
      </x:c>
      <x:c r="I113" s="22" t="str"/>
      <x:c r="J113" s="22" t="str">
        <x:v>CX/50 | CX | CONTEUDO25 | FATOR25</x:v>
      </x:c>
      <x:c r="K113" s="22" t="str">
        <x:v>CAIXA</x:v>
      </x:c>
      <x:c r="L113" s="22" t="str">
        <x:v>TEUTO</x:v>
      </x:c>
      <x:c r="M113" s="28" t="str">
        <x:f>"GTIN: 7895858004927"</x:f>
        <x:v>GTIN: 7895858004927</x:v>
      </x:c>
      <x:c r="N113" s="28" t="str">
        <x:f>"30042071"</x:f>
        <x:v>30042071</x:v>
      </x:c>
      <x:c r="O113" s="29" t="n">
        <x:v>2</x:v>
      </x:c>
      <x:c r="P113" s="29" t="n">
        <x:v>5.5</x:v>
      </x:c>
      <x:c r="Q113" s="28" t="str">
        <x:f>"324"</x:f>
        <x:v>324</x:v>
      </x:c>
      <x:c r="R113" s="28" t="str">
        <x:f>"CV50017"</x:f>
        <x:v>CV50017</x:v>
      </x:c>
      <x:c r="S113" s="22" t="str"/>
      <x:c r="T113" s="22" t="str">
        <x:v>CLORIDRATO VANCOMICINA - 500MG - CAIXA - CX/50 | CX | CONTEUDO25 | FATOR25 - TEUTO</x:v>
      </x:c>
      <x:c r="U113" s="27" t="str"/>
      <x:c r="V113" s="27" t="str"/>
    </x:row>
    <x:row r="114">
      <x:c r="A114" s="28" t="str">
        <x:f>"G-176"</x:f>
        <x:v>G-176</x:v>
      </x:c>
      <x:c r="B114" s="22" t="str">
        <x:v>GLICOSE</x:v>
      </x:c>
      <x:c r="C114" s="22" t="str">
        <x:v>MÉDIO</x:v>
      </x:c>
      <x:c r="D114" s="22" t="str">
        <x:v>MANTER separado como variante/SKU</x:v>
      </x:c>
      <x:c r="E114" s="28" t="str">
        <x:f>"CS00114"</x:f>
        <x:v>CS00114</x:v>
      </x:c>
      <x:c r="F114" s="22" t="str">
        <x:v>GLICOSE 5% 100ML - CX/50 - BAXTER</x:v>
      </x:c>
      <x:c r="G114" s="22" t="str">
        <x:v>GLICOSE %</x:v>
      </x:c>
      <x:c r="H114" s="22" t="str">
        <x:v>100ML</x:v>
      </x:c>
      <x:c r="I114" s="22" t="str"/>
      <x:c r="J114" s="22" t="str">
        <x:v>CX/50 | CX | CONTEUDO50 | FATOR50</x:v>
      </x:c>
      <x:c r="K114" s="22" t="str">
        <x:v>CAIXA</x:v>
      </x:c>
      <x:c r="L114" s="22" t="str">
        <x:v>BAXTER</x:v>
      </x:c>
      <x:c r="M114" s="28" t="str">
        <x:f>"GTIN: 7898170784539"</x:f>
        <x:v>GTIN: 7898170784539</x:v>
      </x:c>
      <x:c r="N114" s="28" t="str">
        <x:f>"28470000"</x:f>
        <x:v>28470000</x:v>
      </x:c>
      <x:c r="O114" s="29" t="n">
        <x:v>2</x:v>
      </x:c>
      <x:c r="P114" s="29" t="n">
        <x:v>11.8</x:v>
      </x:c>
      <x:c r="Q114" s="28" t="str">
        <x:f>"478"</x:f>
        <x:v>478</x:v>
      </x:c>
      <x:c r="R114" s="28" t="str">
        <x:f>"CS00114"</x:f>
        <x:v>CS00114</x:v>
      </x:c>
      <x:c r="S114" s="22" t="str"/>
      <x:c r="T114" s="22" t="str">
        <x:v>GLICOSE % - 100ML - CAIXA - CX/50 | CX | CONTEUDO50 | FATOR50 - BAXTER</x:v>
      </x:c>
      <x:c r="U114" s="27" t="str"/>
      <x:c r="V114" s="27" t="str"/>
    </x:row>
    <x:row r="115">
      <x:c r="A115" s="28" t="str">
        <x:f>"G-176"</x:f>
        <x:v>G-176</x:v>
      </x:c>
      <x:c r="B115" s="22" t="str">
        <x:v>GLICOSE</x:v>
      </x:c>
      <x:c r="C115" s="22" t="str">
        <x:v>MÉDIO</x:v>
      </x:c>
      <x:c r="D115" s="22" t="str">
        <x:v>MANTER separado como variante/SKU</x:v>
      </x:c>
      <x:c r="E115" s="28" t="str">
        <x:f>"CS00012"</x:f>
        <x:v>CS00012</x:v>
      </x:c>
      <x:c r="F115" s="22" t="str">
        <x:v>GLICOSE 5% 250ML CX/48 - FRESENIUS</x:v>
      </x:c>
      <x:c r="G115" s="22" t="str">
        <x:v>GLICOSE %</x:v>
      </x:c>
      <x:c r="H115" s="22" t="str">
        <x:v>250ML</x:v>
      </x:c>
      <x:c r="I115" s="22" t="str"/>
      <x:c r="J115" s="22" t="str">
        <x:v>CX/48 | CX | CONTEUDO48 | FATOR48</x:v>
      </x:c>
      <x:c r="K115" s="22" t="str">
        <x:v>CAIXA</x:v>
      </x:c>
      <x:c r="L115" s="22" t="str">
        <x:v>FRESENIUS</x:v>
      </x:c>
      <x:c r="M115" s="28" t="str"/>
      <x:c r="N115" s="28" t="str">
        <x:f>"28470000"</x:f>
        <x:v>28470000</x:v>
      </x:c>
      <x:c r="O115" s="29" t="n">
        <x:v>3.83</x:v>
      </x:c>
      <x:c r="P115" s="29" t="n">
        <x:v>5.74</x:v>
      </x:c>
      <x:c r="Q115" s="28" t="str">
        <x:f>"479"</x:f>
        <x:v>479</x:v>
      </x:c>
      <x:c r="R115" s="28" t="str">
        <x:f>"CS00012"</x:f>
        <x:v>CS00012</x:v>
      </x:c>
      <x:c r="S115" s="22" t="str">
        <x:v>GTIN ausente ou invalido</x:v>
      </x:c>
      <x:c r="T115" s="22" t="str">
        <x:v>GLICOSE % - 250ML - CAIXA - CX/48 | CX | CONTEUDO48 | FATOR48 - FRESENIUS</x:v>
      </x:c>
      <x:c r="U115" s="27" t="str"/>
      <x:c r="V115" s="27" t="str"/>
    </x:row>
    <x:row r="116">
      <x:c r="A116" s="28" t="str">
        <x:f>"G-176"</x:f>
        <x:v>G-176</x:v>
      </x:c>
      <x:c r="B116" s="22" t="str">
        <x:v>GLICOSE</x:v>
      </x:c>
      <x:c r="C116" s="22" t="str">
        <x:v>MÉDIO</x:v>
      </x:c>
      <x:c r="D116" s="22" t="str">
        <x:v>MANTER separado como variante/SKU</x:v>
      </x:c>
      <x:c r="E116" s="28" t="str">
        <x:f>"G550001"</x:f>
        <x:v>G550001</x:v>
      </x:c>
      <x:c r="F116" s="22" t="str">
        <x:v>GLICOSE 5% 500ML CX/30 FRESENIUS</x:v>
      </x:c>
      <x:c r="G116" s="22" t="str">
        <x:v>GLICOSE %</x:v>
      </x:c>
      <x:c r="H116" s="22" t="str">
        <x:v>500ML</x:v>
      </x:c>
      <x:c r="I116" s="22" t="str"/>
      <x:c r="J116" s="22" t="str">
        <x:v>CX/30 | CX | CONTEUDO30 | FATOR30</x:v>
      </x:c>
      <x:c r="K116" s="22" t="str">
        <x:v>CAIXA</x:v>
      </x:c>
      <x:c r="L116" s="22" t="str">
        <x:v>FRESENIUS</x:v>
      </x:c>
      <x:c r="M116" s="28" t="str">
        <x:f>"GTIN: 7897947706545"</x:f>
        <x:v>GTIN: 7897947706545</x:v>
      </x:c>
      <x:c r="N116" s="28" t="str">
        <x:f>"30049099"</x:f>
        <x:v>30049099</x:v>
      </x:c>
      <x:c r="O116" s="29" t="n">
        <x:v>4.8</x:v>
      </x:c>
      <x:c r="P116" s="29" t="n">
        <x:v>9.44</x:v>
      </x:c>
      <x:c r="Q116" s="28" t="str">
        <x:f>"480"</x:f>
        <x:v>480</x:v>
      </x:c>
      <x:c r="R116" s="28" t="str">
        <x:f>"G550001"</x:f>
        <x:v>G550001</x:v>
      </x:c>
      <x:c r="S116" s="22" t="str"/>
      <x:c r="T116" s="22" t="str">
        <x:v>GLICOSE % - 500ML - CAIXA - CX/30 | CX | CONTEUDO30 | FATOR30 - FRESENIUS</x:v>
      </x:c>
      <x:c r="U116" s="27" t="str"/>
      <x:c r="V116" s="27" t="str"/>
    </x:row>
    <x:row r="117">
      <x:c r="A117" s="28" t="str">
        <x:f>"G-176"</x:f>
        <x:v>G-176</x:v>
      </x:c>
      <x:c r="B117" s="22" t="str">
        <x:v>GLICOSE</x:v>
      </x:c>
      <x:c r="C117" s="22" t="str">
        <x:v>MÉDIO</x:v>
      </x:c>
      <x:c r="D117" s="22" t="str">
        <x:v>MANTER separado como variante/SKU</x:v>
      </x:c>
      <x:c r="E117" s="28" t="str">
        <x:f>"G510002"</x:f>
        <x:v>G510002</x:v>
      </x:c>
      <x:c r="F117" s="22" t="str">
        <x:v>GLICOSE 50% 10ML AP - CX/200 - SAMTEC</x:v>
      </x:c>
      <x:c r="G117" s="22" t="str">
        <x:v>GLICOSE %</x:v>
      </x:c>
      <x:c r="H117" s="22" t="str">
        <x:v>10ML</x:v>
      </x:c>
      <x:c r="I117" s="22" t="str"/>
      <x:c r="J117" s="22" t="str">
        <x:v>AP | CX/200 | CX | CONTEUDO200 | FATOR200</x:v>
      </x:c>
      <x:c r="K117" s="22" t="str">
        <x:v>CAIXA</x:v>
      </x:c>
      <x:c r="L117" s="22" t="str">
        <x:v>SAMTEC</x:v>
      </x:c>
      <x:c r="M117" s="28" t="str"/>
      <x:c r="N117" s="28" t="str">
        <x:f>"28470000"</x:f>
        <x:v>28470000</x:v>
      </x:c>
      <x:c r="O117" s="29" t="n">
        <x:v>2</x:v>
      </x:c>
      <x:c r="P117" s="29" t="n">
        <x:v>11.8</x:v>
      </x:c>
      <x:c r="Q117" s="28" t="str">
        <x:f>"481"</x:f>
        <x:v>481</x:v>
      </x:c>
      <x:c r="R117" s="28" t="str">
        <x:f>"G510002"</x:f>
        <x:v>G510002</x:v>
      </x:c>
      <x:c r="S117" s="22" t="str">
        <x:v>GTIN ausente ou invalido</x:v>
      </x:c>
      <x:c r="T117" s="22" t="str">
        <x:v>GLICOSE % - 10ML - CAIXA - AP | CX/200 | CX | CONTEUDO200 | FATOR200 - SAMTEC</x:v>
      </x:c>
      <x:c r="U117" s="27" t="str"/>
      <x:c r="V117" s="27" t="str"/>
    </x:row>
    <x:row r="118">
      <x:c r="A118" s="28" t="str">
        <x:f>"G-222"</x:f>
        <x:v>G-222</x:v>
      </x:c>
      <x:c r="B118" s="22" t="str">
        <x:v>MEROPENEM</x:v>
      </x:c>
      <x:c r="C118" s="22" t="str">
        <x:v>MÉDIO</x:v>
      </x:c>
      <x:c r="D118" s="22" t="str">
        <x:v>MANTER separado como variante/SKU</x:v>
      </x:c>
      <x:c r="E118" s="28" t="str">
        <x:f>"M1-0005"</x:f>
        <x:v>M1-0005</x:v>
      </x:c>
      <x:c r="F118" s="22" t="str">
        <x:v>MEROPENEM 1G - CX/25 - BLAU</x:v>
      </x:c>
      <x:c r="G118" s="22" t="str">
        <x:v>MEROPENEM</x:v>
      </x:c>
      <x:c r="H118" s="22" t="str">
        <x:v>1G</x:v>
      </x:c>
      <x:c r="I118" s="22" t="str">
        <x:v>1G</x:v>
      </x:c>
      <x:c r="J118" s="22" t="str">
        <x:v>CX/25 | CX | CONTEUDO25 | FATOR25</x:v>
      </x:c>
      <x:c r="K118" s="22" t="str">
        <x:v>CAIXA</x:v>
      </x:c>
      <x:c r="L118" s="22" t="str">
        <x:v>BLAU</x:v>
      </x:c>
      <x:c r="M118" s="28" t="str">
        <x:f>"GTIN: 7896014680290"</x:f>
        <x:v>GTIN: 7896014680290</x:v>
      </x:c>
      <x:c r="N118" s="28" t="str">
        <x:f>"30042099"</x:f>
        <x:v>30042099</x:v>
      </x:c>
      <x:c r="O118" s="29" t="n">
        <x:v>9</x:v>
      </x:c>
      <x:c r="P118" s="29" t="n">
        <x:v>13.9</x:v>
      </x:c>
      <x:c r="Q118" s="28" t="str">
        <x:f>"588 | 589 | 590 | 591 | 592"</x:f>
        <x:v>588 | 589 | 590 | 591 | 592</x:v>
      </x:c>
      <x:c r="R118" s="28" t="str">
        <x:f>"M1-0007 | M1-0001 | M1-0003 | M1-0005 | M1-0008"</x:f>
        <x:v>M1-0007 | M1-0001 | M1-0003 | M1-0005 | M1-0008</x:v>
      </x:c>
      <x:c r="S118" s="22" t="str">
        <x:v>varios codigos legados consolidados em um produto; custo divergente entre lotes; preco de venda divergente entre lotes</x:v>
      </x:c>
      <x:c r="T118" s="22" t="str">
        <x:v>MEROPENEM - 1G - CAIXA - CX/25 | CX | CONTEUDO25 | FATOR25 - BLAU</x:v>
      </x:c>
      <x:c r="U118" s="27" t="str"/>
      <x:c r="V118" s="27" t="str"/>
    </x:row>
    <x:row r="119">
      <x:c r="A119" s="28" t="str">
        <x:f>"G-222"</x:f>
        <x:v>G-222</x:v>
      </x:c>
      <x:c r="B119" s="22" t="str">
        <x:v>MEROPENEM</x:v>
      </x:c>
      <x:c r="C119" s="22" t="str">
        <x:v>MÉDIO</x:v>
      </x:c>
      <x:c r="D119" s="22" t="str">
        <x:v>MANTER separado como variante/SKU</x:v>
      </x:c>
      <x:c r="E119" s="28" t="str">
        <x:f>"M1-0004"</x:f>
        <x:v>M1-0004</x:v>
      </x:c>
      <x:c r="F119" s="22" t="str">
        <x:v>MEROPENEM 1G CX/10 - FRESENIUS</x:v>
      </x:c>
      <x:c r="G119" s="22" t="str">
        <x:v>MEROPENEM</x:v>
      </x:c>
      <x:c r="H119" s="22" t="str">
        <x:v>1G</x:v>
      </x:c>
      <x:c r="I119" s="22" t="str">
        <x:v>1G</x:v>
      </x:c>
      <x:c r="J119" s="22" t="str">
        <x:v>CX/10 | CX | CONTEUDO10 | FATOR10</x:v>
      </x:c>
      <x:c r="K119" s="22" t="str">
        <x:v>CAIXA</x:v>
      </x:c>
      <x:c r="L119" s="22" t="str">
        <x:v>FRESENIUS</x:v>
      </x:c>
      <x:c r="M119" s="28" t="str"/>
      <x:c r="N119" s="28" t="str">
        <x:f>"30042099"</x:f>
        <x:v>30042099</x:v>
      </x:c>
      <x:c r="O119" s="29" t="n">
        <x:v>7</x:v>
      </x:c>
      <x:c r="P119" s="29" t="n">
        <x:v>12.5</x:v>
      </x:c>
      <x:c r="Q119" s="28" t="str">
        <x:f>"593 | 594"</x:f>
        <x:v>593 | 594</x:v>
      </x:c>
      <x:c r="R119" s="28" t="str">
        <x:f>"M1-0004 | M1C0002"</x:f>
        <x:v>M1-0004 | M1C0002</x:v>
      </x:c>
      <x:c r="S119" s="22" t="str">
        <x:v>varios codigos legados consolidados em um produto; GTIN ausente ou invalido</x:v>
      </x:c>
      <x:c r="T119" s="22" t="str">
        <x:v>MEROPENEM - 1G - CAIXA - CX/10 | CX | CONTEUDO10 | FATOR10 - FRESENIUS</x:v>
      </x:c>
      <x:c r="U119" s="27" t="str"/>
      <x:c r="V119" s="27" t="str"/>
    </x:row>
    <x:row r="120">
      <x:c r="A120" s="28" t="str">
        <x:f>"G-222"</x:f>
        <x:v>G-222</x:v>
      </x:c>
      <x:c r="B120" s="22" t="str">
        <x:v>MEROPENEM</x:v>
      </x:c>
      <x:c r="C120" s="22" t="str">
        <x:v>MÉDIO</x:v>
      </x:c>
      <x:c r="D120" s="22" t="str">
        <x:v>MANTER separado como variante/SKU</x:v>
      </x:c>
      <x:c r="E120" s="28" t="str">
        <x:f>"M5-0002"</x:f>
        <x:v>M5-0002</x:v>
      </x:c>
      <x:c r="F120" s="22" t="str">
        <x:v>MEROPENEM 500MG - CX/10 - ABL</x:v>
      </x:c>
      <x:c r="G120" s="22" t="str">
        <x:v>MEROPENEM</x:v>
      </x:c>
      <x:c r="H120" s="22" t="str">
        <x:v>500MG</x:v>
      </x:c>
      <x:c r="I120" s="22" t="str"/>
      <x:c r="J120" s="22" t="str">
        <x:v>CX/10 | CX | CONTEUDO10 | FATOR10</x:v>
      </x:c>
      <x:c r="K120" s="22" t="str">
        <x:v>CAIXA</x:v>
      </x:c>
      <x:c r="L120" s="22" t="str">
        <x:v>ABL</x:v>
      </x:c>
      <x:c r="M120" s="28" t="str">
        <x:f>"GTIN: 7898911244179"</x:f>
        <x:v>GTIN: 7898911244179</x:v>
      </x:c>
      <x:c r="N120" s="28" t="str">
        <x:f>"30042099"</x:f>
        <x:v>30042099</x:v>
      </x:c>
      <x:c r="O120" s="29" t="n">
        <x:v>5</x:v>
      </x:c>
      <x:c r="P120" s="29" t="n">
        <x:v>7.45</x:v>
      </x:c>
      <x:c r="Q120" s="28" t="str">
        <x:f>"595 | 596 | 597"</x:f>
        <x:v>595 | 596 | 597</x:v>
      </x:c>
      <x:c r="R120" s="28" t="str">
        <x:f>"M5A0009 | M5-0002 | M5-0003"</x:f>
        <x:v>M5A0009 | M5-0002 | M5-0003</x:v>
      </x:c>
      <x:c r="S120" s="22" t="str">
        <x:v>varios codigos legados consolidados em um produto; preco de venda divergente entre lotes</x:v>
      </x:c>
      <x:c r="T120" s="22" t="str">
        <x:v>MEROPENEM - 500MG - CAIXA - CX/10 | CX | CONTEUDO10 | FATOR10 - ABL</x:v>
      </x:c>
      <x:c r="U120" s="27" t="str"/>
      <x:c r="V120" s="27" t="str"/>
    </x:row>
    <x:row r="121">
      <x:c r="A121" s="28" t="str">
        <x:f>"G-222"</x:f>
        <x:v>G-222</x:v>
      </x:c>
      <x:c r="B121" s="22" t="str">
        <x:v>MEROPENEM</x:v>
      </x:c>
      <x:c r="C121" s="22" t="str">
        <x:v>MÉDIO</x:v>
      </x:c>
      <x:c r="D121" s="22" t="str">
        <x:v>MANTER separado como variante/SKU</x:v>
      </x:c>
      <x:c r="E121" s="28" t="str">
        <x:f>"M1C0001"</x:f>
        <x:v>M1C0001</x:v>
      </x:c>
      <x:c r="F121" s="22" t="str">
        <x:v>MEROPENEM 500MG CX/10 - FRESENIUS</x:v>
      </x:c>
      <x:c r="G121" s="22" t="str">
        <x:v>MEROPENEM</x:v>
      </x:c>
      <x:c r="H121" s="22" t="str">
        <x:v>500MG</x:v>
      </x:c>
      <x:c r="I121" s="22" t="str"/>
      <x:c r="J121" s="22" t="str">
        <x:v>CX/10 | CX | CONTEUDO10 | FATOR10</x:v>
      </x:c>
      <x:c r="K121" s="22" t="str">
        <x:v>CAIXA</x:v>
      </x:c>
      <x:c r="L121" s="22" t="str">
        <x:v>FRESENIUS</x:v>
      </x:c>
      <x:c r="M121" s="28" t="str">
        <x:f>"GTIN: 7898560664175"</x:f>
        <x:v>GTIN: 7898560664175</x:v>
      </x:c>
      <x:c r="N121" s="28" t="str">
        <x:f>"30042099"</x:f>
        <x:v>30042099</x:v>
      </x:c>
      <x:c r="O121" s="29" t="n">
        <x:v>7</x:v>
      </x:c>
      <x:c r="P121" s="29" t="n">
        <x:v>12.5</x:v>
      </x:c>
      <x:c r="Q121" s="28" t="str">
        <x:f>"600"</x:f>
        <x:v>600</x:v>
      </x:c>
      <x:c r="R121" s="28" t="str">
        <x:f>"M1C0001"</x:f>
        <x:v>M1C0001</x:v>
      </x:c>
      <x:c r="S121" s="22" t="str"/>
      <x:c r="T121" s="22" t="str">
        <x:v>MEROPENEM - 500MG - CAIXA - CX/10 | CX | CONTEUDO10 | FATOR10 - FRESENIUS</x:v>
      </x:c>
      <x:c r="U121" s="27" t="str"/>
      <x:c r="V121" s="27" t="str"/>
    </x:row>
    <x:row r="122">
      <x:c r="A122" s="28" t="str">
        <x:f>"G-260"</x:f>
        <x:v>G-260</x:v>
      </x:c>
      <x:c r="B122" s="22" t="str">
        <x:v>SERINGA AG BICO LUER LOCK</x:v>
      </x:c>
      <x:c r="C122" s="22" t="str">
        <x:v>MÉDIO</x:v>
      </x:c>
      <x:c r="D122" s="22" t="str">
        <x:v>MANTER separado como variante/SKU</x:v>
      </x:c>
      <x:c r="E122" s="28" t="str">
        <x:f>"S1S0005"</x:f>
        <x:v>S1S0005</x:v>
      </x:c>
      <x:c r="F122" s="22" t="str">
        <x:v>SERINGA 10ML S/AG BICO LUER LOCK - CX/100 - DESCARPACK</x:v>
      </x:c>
      <x:c r="G122" s="22" t="str">
        <x:v>SERINGA AG BICO LUER LOCK</x:v>
      </x:c>
      <x:c r="H122" s="22" t="str">
        <x:v>10ML</x:v>
      </x:c>
      <x:c r="I122" s="22" t="str"/>
      <x:c r="J122" s="22" t="str">
        <x:v>CX/100 | UND</x:v>
      </x:c>
      <x:c r="K122" s="22" t="str">
        <x:v>SERINGA</x:v>
      </x:c>
      <x:c r="L122" s="22" t="str">
        <x:v>DESCARPACK</x:v>
      </x:c>
      <x:c r="M122" s="28" t="str"/>
      <x:c r="N122" s="28" t="str">
        <x:f>"90183119"</x:f>
        <x:v>90183119</x:v>
      </x:c>
      <x:c r="O122" s="29" t="n">
        <x:v>0.21</x:v>
      </x:c>
      <x:c r="P122" s="29" t="n">
        <x:v>0.39</x:v>
      </x:c>
      <x:c r="Q122" s="28" t="str">
        <x:f>"679"</x:f>
        <x:v>679</x:v>
      </x:c>
      <x:c r="R122" s="28" t="str">
        <x:f>"S1S0005"</x:f>
        <x:v>S1S0005</x:v>
      </x:c>
      <x:c r="S122" s="22" t="str">
        <x:v>GTIN ausente ou invalido</x:v>
      </x:c>
      <x:c r="T122" s="22" t="str">
        <x:v>SERINGA AG BICO LUER LOCK - 10ML - SERINGA - CX/100 | UND - DESCARPACK</x:v>
      </x:c>
      <x:c r="U122" s="27" t="str"/>
      <x:c r="V122" s="27" t="str"/>
    </x:row>
    <x:row r="123">
      <x:c r="A123" s="28" t="str">
        <x:f>"G-260"</x:f>
        <x:v>G-260</x:v>
      </x:c>
      <x:c r="B123" s="22" t="str">
        <x:v>SERINGA AG BICO LUER LOCK</x:v>
      </x:c>
      <x:c r="C123" s="22" t="str">
        <x:v>MÉDIO</x:v>
      </x:c>
      <x:c r="D123" s="22" t="str">
        <x:v>MANTER separado como variante/SKU</x:v>
      </x:c>
      <x:c r="E123" s="28" t="str">
        <x:f>"S1S0002"</x:f>
        <x:v>S1S0002</x:v>
      </x:c>
      <x:c r="F123" s="22" t="str">
        <x:v>SERINGA 10ML S/AG BICO LUER LOCK - CX/100 - MEDIX</x:v>
      </x:c>
      <x:c r="G123" s="22" t="str">
        <x:v>SERINGA AG BICO LUER LOCK</x:v>
      </x:c>
      <x:c r="H123" s="22" t="str">
        <x:v>10ML</x:v>
      </x:c>
      <x:c r="I123" s="22" t="str"/>
      <x:c r="J123" s="22" t="str">
        <x:v>CX/100 | UND</x:v>
      </x:c>
      <x:c r="K123" s="22" t="str">
        <x:v>SERINGA</x:v>
      </x:c>
      <x:c r="L123" s="22" t="str">
        <x:v>MEDIX</x:v>
      </x:c>
      <x:c r="M123" s="28" t="str"/>
      <x:c r="N123" s="28" t="str">
        <x:f>"90183119"</x:f>
        <x:v>90183119</x:v>
      </x:c>
      <x:c r="O123" s="29" t="n">
        <x:v>0.21</x:v>
      </x:c>
      <x:c r="P123" s="29" t="n">
        <x:v>0.39</x:v>
      </x:c>
      <x:c r="Q123" s="28" t="str">
        <x:f>"680"</x:f>
        <x:v>680</x:v>
      </x:c>
      <x:c r="R123" s="28" t="str">
        <x:f>"S1S0002"</x:f>
        <x:v>S1S0002</x:v>
      </x:c>
      <x:c r="S123" s="22" t="str">
        <x:v>GTIN ausente ou invalido</x:v>
      </x:c>
      <x:c r="T123" s="22" t="str">
        <x:v>SERINGA AG BICO LUER LOCK - 10ML - SERINGA - CX/100 | UND - MEDIX</x:v>
      </x:c>
      <x:c r="U123" s="27" t="str"/>
      <x:c r="V123" s="27" t="str"/>
    </x:row>
    <x:row r="124">
      <x:c r="A124" s="28" t="str">
        <x:f>"G-260"</x:f>
        <x:v>G-260</x:v>
      </x:c>
      <x:c r="B124" s="22" t="str">
        <x:v>SERINGA AG BICO LUER LOCK</x:v>
      </x:c>
      <x:c r="C124" s="22" t="str">
        <x:v>MÉDIO</x:v>
      </x:c>
      <x:c r="D124" s="22" t="str">
        <x:v>MANTER separado como variante/SKU</x:v>
      </x:c>
      <x:c r="E124" s="28" t="str">
        <x:f>"S1S0003"</x:f>
        <x:v>S1S0003</x:v>
      </x:c>
      <x:c r="F124" s="22" t="str">
        <x:v>SERINGA 10ML S/AG BICO LUER LOCK - CX/100 - SR</x:v>
      </x:c>
      <x:c r="G124" s="22" t="str">
        <x:v>SERINGA AG BICO LUER LOCK</x:v>
      </x:c>
      <x:c r="H124" s="22" t="str">
        <x:v>10ML</x:v>
      </x:c>
      <x:c r="I124" s="22" t="str"/>
      <x:c r="J124" s="22" t="str">
        <x:v>CX/100 | UND</x:v>
      </x:c>
      <x:c r="K124" s="22" t="str">
        <x:v>SERINGA</x:v>
      </x:c>
      <x:c r="L124" s="22" t="str">
        <x:v>SR</x:v>
      </x:c>
      <x:c r="M124" s="28" t="str"/>
      <x:c r="N124" s="28" t="str">
        <x:f>"90183119"</x:f>
        <x:v>90183119</x:v>
      </x:c>
      <x:c r="O124" s="29" t="n">
        <x:v>0.21</x:v>
      </x:c>
      <x:c r="P124" s="29" t="n">
        <x:v>0.33</x:v>
      </x:c>
      <x:c r="Q124" s="28" t="str">
        <x:f>"681"</x:f>
        <x:v>681</x:v>
      </x:c>
      <x:c r="R124" s="28" t="str">
        <x:f>"S1S0003"</x:f>
        <x:v>S1S0003</x:v>
      </x:c>
      <x:c r="S124" s="22" t="str">
        <x:v>GTIN ausente ou invalido</x:v>
      </x:c>
      <x:c r="T124" s="22" t="str">
        <x:v>SERINGA AG BICO LUER LOCK - 10ML - SERINGA - CX/100 | UND - SR</x:v>
      </x:c>
      <x:c r="U124" s="27" t="str"/>
      <x:c r="V124" s="27" t="str"/>
    </x:row>
    <x:row r="125">
      <x:c r="A125" s="28" t="str">
        <x:f>"G-260"</x:f>
        <x:v>G-260</x:v>
      </x:c>
      <x:c r="B125" s="22" t="str">
        <x:v>SERINGA AG BICO LUER LOCK</x:v>
      </x:c>
      <x:c r="C125" s="22" t="str">
        <x:v>MÉDIO</x:v>
      </x:c>
      <x:c r="D125" s="22" t="str">
        <x:v>MANTER separado como variante/SKU</x:v>
      </x:c>
      <x:c r="E125" s="28" t="str">
        <x:f>"S1S0004"</x:f>
        <x:v>S1S0004</x:v>
      </x:c>
      <x:c r="F125" s="22" t="str">
        <x:v>SERINGA 3ML S/AG BICO LUER LOCK - CX/500 - SR</x:v>
      </x:c>
      <x:c r="G125" s="22" t="str">
        <x:v>SERINGA AG BICO LUER LOCK</x:v>
      </x:c>
      <x:c r="H125" s="22" t="str">
        <x:v>3ML</x:v>
      </x:c>
      <x:c r="I125" s="22" t="str"/>
      <x:c r="J125" s="22" t="str">
        <x:v>CX/500 | UND</x:v>
      </x:c>
      <x:c r="K125" s="22" t="str">
        <x:v>SERINGA</x:v>
      </x:c>
      <x:c r="L125" s="22" t="str">
        <x:v>SR</x:v>
      </x:c>
      <x:c r="M125" s="28" t="str">
        <x:f>"GTIN: 7899080337686"</x:f>
        <x:v>GTIN: 7899080337686</x:v>
      </x:c>
      <x:c r="N125" s="28" t="str">
        <x:f>"90183119"</x:f>
        <x:v>90183119</x:v>
      </x:c>
      <x:c r="O125" s="29" t="n">
        <x:v>0.21</x:v>
      </x:c>
      <x:c r="P125" s="29" t="n">
        <x:v>0.31</x:v>
      </x:c>
      <x:c r="Q125" s="28" t="str">
        <x:f>"686"</x:f>
        <x:v>686</x:v>
      </x:c>
      <x:c r="R125" s="28" t="str">
        <x:f>"S1S0004"</x:f>
        <x:v>S1S0004</x:v>
      </x:c>
      <x:c r="S125" s="22" t="str">
        <x:v>GTIN repetido em produtos distintos</x:v>
      </x:c>
      <x:c r="T125" s="22" t="str">
        <x:v>SERINGA AG BICO LUER LOCK - 3ML - SERINGA - CX/500 | UND - SR</x:v>
      </x:c>
      <x:c r="U125" s="27" t="str"/>
      <x:c r="V125" s="27" t="str"/>
    </x:row>
    <x:row r="126">
      <x:c r="A126" s="28" t="str">
        <x:f>"G-262"</x:f>
        <x:v>G-262</x:v>
      </x:c>
      <x:c r="B126" s="22" t="str">
        <x:v>SERINGA AG BICO LUER SLIP</x:v>
      </x:c>
      <x:c r="C126" s="22" t="str">
        <x:v>MÉDIO</x:v>
      </x:c>
      <x:c r="D126" s="22" t="str">
        <x:v>MANTER separado como variante/SKU</x:v>
      </x:c>
      <x:c r="E126" s="28" t="str">
        <x:f>"S1S0001"</x:f>
        <x:v>S1S0001</x:v>
      </x:c>
      <x:c r="F126" s="22" t="str">
        <x:v>SERINGA 20ML S/AG BICO LUER SLIP - CX/50 - DESCARPACK</x:v>
      </x:c>
      <x:c r="G126" s="22" t="str">
        <x:v>SERINGA AG BICO LUER SLIP</x:v>
      </x:c>
      <x:c r="H126" s="22" t="str">
        <x:v>20ML</x:v>
      </x:c>
      <x:c r="I126" s="22" t="str"/>
      <x:c r="J126" s="22" t="str">
        <x:v>CX/50 | UND</x:v>
      </x:c>
      <x:c r="K126" s="22" t="str">
        <x:v>SERINGA</x:v>
      </x:c>
      <x:c r="L126" s="22" t="str">
        <x:v>DESCARPACK</x:v>
      </x:c>
      <x:c r="M126" s="28" t="str"/>
      <x:c r="N126" s="28" t="str">
        <x:f>"90183119"</x:f>
        <x:v>90183119</x:v>
      </x:c>
      <x:c r="O126" s="29" t="n">
        <x:v>0.35</x:v>
      </x:c>
      <x:c r="P126" s="29" t="n">
        <x:v>0.55</x:v>
      </x:c>
      <x:c r="Q126" s="28" t="str">
        <x:f>"683"</x:f>
        <x:v>683</x:v>
      </x:c>
      <x:c r="R126" s="28" t="str">
        <x:f>"S1S0001"</x:f>
        <x:v>S1S0001</x:v>
      </x:c>
      <x:c r="S126" s="22" t="str">
        <x:v>GTIN ausente ou invalido</x:v>
      </x:c>
      <x:c r="T126" s="22" t="str">
        <x:v>SERINGA AG BICO LUER SLIP - 20ML - SERINGA - CX/50 | UND - DESCARPACK</x:v>
      </x:c>
      <x:c r="U126" s="27" t="str"/>
      <x:c r="V126" s="27" t="str"/>
    </x:row>
    <x:row r="127">
      <x:c r="A127" s="28" t="str">
        <x:f>"G-262"</x:f>
        <x:v>G-262</x:v>
      </x:c>
      <x:c r="B127" s="22" t="str">
        <x:v>SERINGA AG BICO LUER SLIP</x:v>
      </x:c>
      <x:c r="C127" s="22" t="str">
        <x:v>MÉDIO</x:v>
      </x:c>
      <x:c r="D127" s="22" t="str">
        <x:v>MANTER separado como variante/SKU</x:v>
      </x:c>
      <x:c r="E127" s="28" t="str">
        <x:f>"S3S0001"</x:f>
        <x:v>S3S0001</x:v>
      </x:c>
      <x:c r="F127" s="22" t="str">
        <x:v>SERINGA 3ML S/AG BICO LUER SLIP - CX/500 - SR</x:v>
      </x:c>
      <x:c r="G127" s="22" t="str">
        <x:v>SERINGA AG BICO LUER SLIP</x:v>
      </x:c>
      <x:c r="H127" s="22" t="str">
        <x:v>3ML</x:v>
      </x:c>
      <x:c r="I127" s="22" t="str"/>
      <x:c r="J127" s="22" t="str">
        <x:v>CX/500 | UND</x:v>
      </x:c>
      <x:c r="K127" s="22" t="str">
        <x:v>SERINGA</x:v>
      </x:c>
      <x:c r="L127" s="22" t="str">
        <x:v>SR</x:v>
      </x:c>
      <x:c r="M127" s="28" t="str">
        <x:f>"GTIN: 7899080337686"</x:f>
        <x:v>GTIN: 7899080337686</x:v>
      </x:c>
      <x:c r="N127" s="28" t="str">
        <x:f>"90183119"</x:f>
        <x:v>90183119</x:v>
      </x:c>
      <x:c r="O127" s="29" t="n">
        <x:v>0.21</x:v>
      </x:c>
      <x:c r="P127" s="29" t="n">
        <x:v>0.31</x:v>
      </x:c>
      <x:c r="Q127" s="28" t="str">
        <x:f>"687 | 688"</x:f>
        <x:v>687 | 688</x:v>
      </x:c>
      <x:c r="R127" s="28" t="str">
        <x:f>"S3S0001 | S3S0002"</x:f>
        <x:v>S3S0001 | S3S0002</x:v>
      </x:c>
      <x:c r="S127" s="22" t="str">
        <x:v>varios codigos legados consolidados em um produto; GTIN repetido em produtos distintos</x:v>
      </x:c>
      <x:c r="T127" s="22" t="str">
        <x:v>SERINGA AG BICO LUER SLIP - 3ML - SERINGA - CX/500 | UND - SR</x:v>
      </x:c>
      <x:c r="U127" s="27" t="str"/>
      <x:c r="V127" s="27" t="str"/>
    </x:row>
    <x:row r="128">
      <x:c r="A128" s="28" t="str">
        <x:f>"G-262"</x:f>
        <x:v>G-262</x:v>
      </x:c>
      <x:c r="B128" s="22" t="str">
        <x:v>SERINGA AG BICO LUER SLIP</x:v>
      </x:c>
      <x:c r="C128" s="22" t="str">
        <x:v>MÉDIO</x:v>
      </x:c>
      <x:c r="D128" s="22" t="str">
        <x:v>MANTER separado como variante/SKU</x:v>
      </x:c>
      <x:c r="E128" s="28" t="str">
        <x:f>"S1S0006"</x:f>
        <x:v>S1S0006</x:v>
      </x:c>
      <x:c r="F128" s="22" t="str">
        <x:v>SERINGA 5ML S/AG BICO LUER SLIP - CX/50 - SR</x:v>
      </x:c>
      <x:c r="G128" s="22" t="str">
        <x:v>SERINGA AG BICO LUER SLIP</x:v>
      </x:c>
      <x:c r="H128" s="22" t="str">
        <x:v>5ML</x:v>
      </x:c>
      <x:c r="I128" s="22" t="str"/>
      <x:c r="J128" s="22" t="str">
        <x:v>CX/50 | UND</x:v>
      </x:c>
      <x:c r="K128" s="22" t="str">
        <x:v>SERINGA</x:v>
      </x:c>
      <x:c r="L128" s="22" t="str">
        <x:v>SR</x:v>
      </x:c>
      <x:c r="M128" s="28" t="str"/>
      <x:c r="N128" s="28" t="str">
        <x:f>"90183119"</x:f>
        <x:v>90183119</x:v>
      </x:c>
      <x:c r="O128" s="29" t="n">
        <x:v>0.21</x:v>
      </x:c>
      <x:c r="P128" s="29" t="n">
        <x:v>0.39</x:v>
      </x:c>
      <x:c r="Q128" s="28" t="str">
        <x:f>"690"</x:f>
        <x:v>690</x:v>
      </x:c>
      <x:c r="R128" s="28" t="str">
        <x:f>"S1S0006"</x:f>
        <x:v>S1S0006</x:v>
      </x:c>
      <x:c r="S128" s="22" t="str">
        <x:v>GTIN ausente ou invalido</x:v>
      </x:c>
      <x:c r="T128" s="22" t="str">
        <x:v>SERINGA AG BICO LUER SLIP - 5ML - SERINGA - CX/50 | UND - SR</x:v>
      </x:c>
      <x:c r="U128" s="27" t="str"/>
      <x:c r="V128" s="27" t="str"/>
    </x:row>
    <x:row r="129">
      <x:c r="A129" s="28" t="str">
        <x:f>"G-262"</x:f>
        <x:v>G-262</x:v>
      </x:c>
      <x:c r="B129" s="22" t="str">
        <x:v>SERINGA AG BICO LUER SLIP</x:v>
      </x:c>
      <x:c r="C129" s="22" t="str">
        <x:v>MÉDIO</x:v>
      </x:c>
      <x:c r="D129" s="22" t="str">
        <x:v>MANTER separado como variante/SKU</x:v>
      </x:c>
      <x:c r="E129" s="28" t="str">
        <x:f>"S6S0002"</x:f>
        <x:v>S6S0002</x:v>
      </x:c>
      <x:c r="F129" s="22" t="str">
        <x:v>SERINGA 60ML S/AG BICO LUER SLIP CX/100 SR</x:v>
      </x:c>
      <x:c r="G129" s="22" t="str">
        <x:v>SERINGA AG BICO LUER SLIP</x:v>
      </x:c>
      <x:c r="H129" s="22" t="str">
        <x:v>60ML</x:v>
      </x:c>
      <x:c r="I129" s="22" t="str"/>
      <x:c r="J129" s="22" t="str">
        <x:v>CX/100 | CX | CONTEUDO100 | FATOR100</x:v>
      </x:c>
      <x:c r="K129" s="22" t="str">
        <x:v>CAIXA</x:v>
      </x:c>
      <x:c r="L129" s="22" t="str">
        <x:v>SR</x:v>
      </x:c>
      <x:c r="M129" s="28" t="str">
        <x:f>"GTIN: 7842826600032"</x:f>
        <x:v>GTIN: 7842826600032</x:v>
      </x:c>
      <x:c r="N129" s="28" t="str">
        <x:f>"90183119"</x:f>
        <x:v>90183119</x:v>
      </x:c>
      <x:c r="O129" s="29" t="n">
        <x:v>1.2</x:v>
      </x:c>
      <x:c r="P129" s="29" t="n">
        <x:v>2.89</x:v>
      </x:c>
      <x:c r="Q129" s="28" t="str">
        <x:f>"693"</x:f>
        <x:v>693</x:v>
      </x:c>
      <x:c r="R129" s="28" t="str">
        <x:f>"S6S0002"</x:f>
        <x:v>S6S0002</x:v>
      </x:c>
      <x:c r="S129" s="22" t="str"/>
      <x:c r="T129" s="22" t="str">
        <x:v>SERINGA AG BICO LUER SLIP - 60ML - CAIXA - CX/100 | CX | CONTEUDO100 | FATOR100 - SR</x:v>
      </x:c>
      <x:c r="U129" s="27" t="str"/>
      <x:c r="V129" s="27" t="str"/>
    </x:row>
    <x:row r="130">
      <x:c r="A130" s="28" t="str">
        <x:f>"G-192"</x:f>
        <x:v>G-192</x:v>
      </x:c>
      <x:c r="B130" s="22" t="str">
        <x:v>CIRURGICO UNIVERSAL LAMINADO IMPERMEAVEL GR50 AVENTAIS ESTERIL</x:v>
      </x:c>
      <x:c r="C130" s="22" t="str">
        <x:v>MÉDIO</x:v>
      </x:c>
      <x:c r="D130" s="22" t="str">
        <x:v>MANTER separado como variante/SKU</x:v>
      </x:c>
      <x:c r="E130" s="28" t="str">
        <x:f>"KCU0002"</x:f>
        <x:v>KCU0002</x:v>
      </x:c>
      <x:c r="F130" s="22" t="str">
        <x:v>KIT CIRURGICO UNIVERSAL LAMINADO IMPERMEÁVEL GR50 C/02 AVENTAIS ESTÉRIL - CX/10 - WINNER</x:v>
      </x:c>
      <x:c r="G130" s="22" t="str">
        <x:v>CIRURGICO UNIVERSAL LAMINADO IMPERMEAVEL GR50 AVENTAIS ESTERIL</x:v>
      </x:c>
      <x:c r="H130" s="22" t="str"/>
      <x:c r="I130" s="22" t="str"/>
      <x:c r="J130" s="22" t="str">
        <x:v>KIT | CX/10 | CX10</x:v>
      </x:c>
      <x:c r="K130" s="22" t="str">
        <x:v>CAIXA</x:v>
      </x:c>
      <x:c r="L130" s="22" t="str">
        <x:v>WINNER</x:v>
      </x:c>
      <x:c r="M130" s="28" t="str">
        <x:f>"GTIN: 7898010926921"</x:f>
        <x:v>GTIN: 7898010926921</x:v>
      </x:c>
      <x:c r="N130" s="28" t="str">
        <x:f>"30059020"</x:f>
        <x:v>30059020</x:v>
      </x:c>
      <x:c r="O130" s="29" t="n">
        <x:v>29</x:v>
      </x:c>
      <x:c r="P130" s="29" t="n">
        <x:v>55</x:v>
      </x:c>
      <x:c r="Q130" s="28" t="str">
        <x:f>"521"</x:f>
        <x:v>521</x:v>
      </x:c>
      <x:c r="R130" s="28" t="str">
        <x:f>"KCU0002"</x:f>
        <x:v>KCU0002</x:v>
      </x:c>
      <x:c r="S130" s="22" t="str">
        <x:v>GTIN repetido em produtos distintos</x:v>
      </x:c>
      <x:c r="T130" s="22" t="str">
        <x:v>CIRURGICO UNIVERSAL LAMINADO IMPERMEAVEL GR50 AVENTAIS ESTERIL - CAIXA - KIT | CX/10 | CX10 - WINNER</x:v>
      </x:c>
      <x:c r="U130" s="27" t="str"/>
      <x:c r="V130" s="27" t="str"/>
    </x:row>
    <x:row r="131">
      <x:c r="A131" s="28" t="str">
        <x:f>"G-192"</x:f>
        <x:v>G-192</x:v>
      </x:c>
      <x:c r="B131" s="22" t="str">
        <x:v>CIRURGICO UNIVERSAL LAMINADO IMPERMEAVEL GR50 AVENTAIS ESTERIL</x:v>
      </x:c>
      <x:c r="C131" s="22" t="str">
        <x:v>MÉDIO</x:v>
      </x:c>
      <x:c r="D131" s="22" t="str">
        <x:v>MANTER separado como variante/SKU</x:v>
      </x:c>
      <x:c r="E131" s="28" t="str">
        <x:f>"KCU0001"</x:f>
        <x:v>KCU0001</x:v>
      </x:c>
      <x:c r="F131" s="22" t="str">
        <x:v>KIT CIRURGICO UNIVERSAL LAMINADO IMPERMEÁVEL GR50 C/02 AVENTAIS ESTÉRIL - CX/12 - WINNER</x:v>
      </x:c>
      <x:c r="G131" s="22" t="str">
        <x:v>CIRURGICO UNIVERSAL LAMINADO IMPERMEAVEL GR50 AVENTAIS ESTERIL</x:v>
      </x:c>
      <x:c r="H131" s="22" t="str"/>
      <x:c r="I131" s="22" t="str"/>
      <x:c r="J131" s="22" t="str">
        <x:v>KIT | CX/12 | CX12</x:v>
      </x:c>
      <x:c r="K131" s="22" t="str">
        <x:v>CAIXA</x:v>
      </x:c>
      <x:c r="L131" s="22" t="str">
        <x:v>WINNER</x:v>
      </x:c>
      <x:c r="M131" s="28" t="str"/>
      <x:c r="N131" s="28" t="str">
        <x:f>"30059020"</x:f>
        <x:v>30059020</x:v>
      </x:c>
      <x:c r="O131" s="29" t="n">
        <x:v>39.9</x:v>
      </x:c>
      <x:c r="P131" s="29" t="n">
        <x:v>59.5</x:v>
      </x:c>
      <x:c r="Q131" s="28" t="str">
        <x:f>"522"</x:f>
        <x:v>522</x:v>
      </x:c>
      <x:c r="R131" s="28" t="str">
        <x:f>"KCU0001"</x:f>
        <x:v>KCU0001</x:v>
      </x:c>
      <x:c r="S131" s="22" t="str">
        <x:v>GTIN ausente ou invalido</x:v>
      </x:c>
      <x:c r="T131" s="22" t="str">
        <x:v>CIRURGICO UNIVERSAL LAMINADO IMPERMEAVEL GR50 AVENTAIS ESTERIL - CAIXA - KIT | CX/12 | CX12 - WINNER</x:v>
      </x:c>
      <x:c r="U131" s="27" t="str"/>
      <x:c r="V131" s="27" t="str"/>
    </x:row>
    <x:row r="132">
      <x:c r="A132" s="28" t="str">
        <x:f>"G-192"</x:f>
        <x:v>G-192</x:v>
      </x:c>
      <x:c r="B132" s="22" t="str">
        <x:v>CIRURGICO UNIVERSAL LAMINADO IMPERMEAVEL GR50 AVENTAIS ESTERIL</x:v>
      </x:c>
      <x:c r="C132" s="22" t="str">
        <x:v>MÉDIO</x:v>
      </x:c>
      <x:c r="D132" s="22" t="str">
        <x:v>MANTER separado como variante/SKU</x:v>
      </x:c>
      <x:c r="E132" s="28" t="str">
        <x:f>"KCU0004"</x:f>
        <x:v>KCU0004</x:v>
      </x:c>
      <x:c r="F132" s="22" t="str">
        <x:v>KIT CIRURGICO UNIVERSAL LAMINADO IMPERMEÁVEL GR50 C/02 AVENTAIS ESTÉRIL - CX/17 - WINNER</x:v>
      </x:c>
      <x:c r="G132" s="22" t="str">
        <x:v>CIRURGICO UNIVERSAL LAMINADO IMPERMEAVEL GR50 AVENTAIS ESTERIL</x:v>
      </x:c>
      <x:c r="H132" s="22" t="str"/>
      <x:c r="I132" s="22" t="str"/>
      <x:c r="J132" s="22" t="str">
        <x:v>KIT | CX/17 | CX17</x:v>
      </x:c>
      <x:c r="K132" s="22" t="str">
        <x:v>CAIXA</x:v>
      </x:c>
      <x:c r="L132" s="22" t="str">
        <x:v>WINNER</x:v>
      </x:c>
      <x:c r="M132" s="28" t="str"/>
      <x:c r="N132" s="28" t="str">
        <x:f>"30059020"</x:f>
        <x:v>30059020</x:v>
      </x:c>
      <x:c r="O132" s="29" t="n">
        <x:v>39.9</x:v>
      </x:c>
      <x:c r="P132" s="29" t="n">
        <x:v>59.5</x:v>
      </x:c>
      <x:c r="Q132" s="28" t="str">
        <x:f>"523"</x:f>
        <x:v>523</x:v>
      </x:c>
      <x:c r="R132" s="28" t="str">
        <x:f>"KCU0004"</x:f>
        <x:v>KCU0004</x:v>
      </x:c>
      <x:c r="S132" s="22" t="str">
        <x:v>GTIN ausente ou invalido</x:v>
      </x:c>
      <x:c r="T132" s="22" t="str">
        <x:v>CIRURGICO UNIVERSAL LAMINADO IMPERMEAVEL GR50 AVENTAIS ESTERIL - CAIXA - KIT | CX/17 | CX17 - WINNER</x:v>
      </x:c>
      <x:c r="U132" s="27" t="str"/>
      <x:c r="V132" s="27" t="str"/>
    </x:row>
    <x:row r="133">
      <x:c r="A133" s="28" t="str">
        <x:f>"G-179"</x:f>
        <x:v>G-179</x:v>
      </x:c>
      <x:c r="B133" s="22" t="str">
        <x:v>HIDROCORTISONA</x:v>
      </x:c>
      <x:c r="C133" s="22" t="str">
        <x:v>MÉDIO</x:v>
      </x:c>
      <x:c r="D133" s="22" t="str">
        <x:v>MANTER separado como variante/SKU</x:v>
      </x:c>
      <x:c r="E133" s="28" t="str">
        <x:f>"H1-0004"</x:f>
        <x:v>H1-0004</x:v>
      </x:c>
      <x:c r="F133" s="22" t="str">
        <x:v>HIDROCORTISONA 100MG - BLAU CX/50</x:v>
      </x:c>
      <x:c r="G133" s="22" t="str">
        <x:v>HIDROCORTISONA</x:v>
      </x:c>
      <x:c r="H133" s="22" t="str">
        <x:v>100MG</x:v>
      </x:c>
      <x:c r="I133" s="22" t="str"/>
      <x:c r="J133" s="22" t="str">
        <x:v>CX/50 | CX | CONTEUDO50 | FATOR50</x:v>
      </x:c>
      <x:c r="K133" s="22" t="str">
        <x:v>CAIXA</x:v>
      </x:c>
      <x:c r="L133" s="22" t="str">
        <x:v>BLAU</x:v>
      </x:c>
      <x:c r="M133" s="28" t="str"/>
      <x:c r="N133" s="28" t="str">
        <x:f>"29372120"</x:f>
        <x:v>29372120</x:v>
      </x:c>
      <x:c r="O133" s="29" t="n">
        <x:v>2.5</x:v>
      </x:c>
      <x:c r="P133" s="29" t="n">
        <x:v>4.55</x:v>
      </x:c>
      <x:c r="Q133" s="28" t="str">
        <x:f>"489 | 490"</x:f>
        <x:v>489 | 490</x:v>
      </x:c>
      <x:c r="R133" s="28" t="str">
        <x:f>"H1-0004 | H5A0001"</x:f>
        <x:v>H1-0004 | H5A0001</x:v>
      </x:c>
      <x:c r="S133" s="22" t="str">
        <x:v>varios codigos legados consolidados em um produto; GTIN ausente ou invalido</x:v>
      </x:c>
      <x:c r="T133" s="22" t="str">
        <x:v>HIDROCORTISONA - 100MG - CAIXA - CX/50 | CX | CONTEUDO50 | FATOR50 - BLAU</x:v>
      </x:c>
      <x:c r="U133" s="27" t="str"/>
      <x:c r="V133" s="27" t="str"/>
    </x:row>
    <x:row r="134">
      <x:c r="A134" s="28" t="str">
        <x:f>"G-179"</x:f>
        <x:v>G-179</x:v>
      </x:c>
      <x:c r="B134" s="22" t="str">
        <x:v>HIDROCORTISONA</x:v>
      </x:c>
      <x:c r="C134" s="22" t="str">
        <x:v>MÉDIO</x:v>
      </x:c>
      <x:c r="D134" s="22" t="str">
        <x:v>MANTER separado como variante/SKU</x:v>
      </x:c>
      <x:c r="E134" s="28" t="str">
        <x:f>"H1-0003"</x:f>
        <x:v>H1-0003</x:v>
      </x:c>
      <x:c r="F134" s="22" t="str">
        <x:v>HIDROCORTISONA 500MG - BLAU CX/50</x:v>
      </x:c>
      <x:c r="G134" s="22" t="str">
        <x:v>HIDROCORTISONA</x:v>
      </x:c>
      <x:c r="H134" s="22" t="str">
        <x:v>500MG</x:v>
      </x:c>
      <x:c r="I134" s="22" t="str"/>
      <x:c r="J134" s="22" t="str">
        <x:v>CX/50 | CX | CONTEUDO50 | FATOR50</x:v>
      </x:c>
      <x:c r="K134" s="22" t="str">
        <x:v>CAIXA</x:v>
      </x:c>
      <x:c r="L134" s="22" t="str">
        <x:v>BLAU</x:v>
      </x:c>
      <x:c r="M134" s="28" t="str">
        <x:f>"GTIN: 7891004163241"</x:f>
        <x:v>GTIN: 7891004163241</x:v>
      </x:c>
      <x:c r="N134" s="28" t="str">
        <x:f>"29372120"</x:f>
        <x:v>29372120</x:v>
      </x:c>
      <x:c r="O134" s="29" t="n">
        <x:v>2.5</x:v>
      </x:c>
      <x:c r="P134" s="29" t="n">
        <x:v>4.55</x:v>
      </x:c>
      <x:c r="Q134" s="28" t="str">
        <x:f>"491 | 492 | 493 | 494 | 495 | 496"</x:f>
        <x:v>491 | 492 | 493 | 494 | 495 | 496</x:v>
      </x:c>
      <x:c r="R134" s="28" t="str">
        <x:f>"H5-0002 | H1-0002 | H1-0003 | H5-0003 | H5-0001 | H1-0001"</x:f>
        <x:v>H5-0002 | H1-0002 | H1-0003 | H5-0003 | H5-0001 | H1-0001</x:v>
      </x:c>
      <x:c r="S134" s="22" t="str">
        <x:v>varios codigos legados consolidados em um produto; custo divergente entre lotes</x:v>
      </x:c>
      <x:c r="T134" s="22" t="str">
        <x:v>HIDROCORTISONA - 500MG - CAIXA - CX/50 | CX | CONTEUDO50 | FATOR50 - BLAU</x:v>
      </x:c>
      <x:c r="U134" s="27" t="str"/>
      <x:c r="V134" s="27" t="str"/>
    </x:row>
    <x:row r="135">
      <x:c r="A135" s="28" t="str">
        <x:f>"G-179"</x:f>
        <x:v>G-179</x:v>
      </x:c>
      <x:c r="B135" s="22" t="str">
        <x:v>HIDROCORTISONA</x:v>
      </x:c>
      <x:c r="C135" s="22" t="str">
        <x:v>MÉDIO</x:v>
      </x:c>
      <x:c r="D135" s="22" t="str">
        <x:v>MANTER separado como variante/SKU</x:v>
      </x:c>
      <x:c r="E135" s="28" t="str">
        <x:f>"H5F0004"</x:f>
        <x:v>H5F0004</x:v>
      </x:c>
      <x:c r="F135" s="22" t="str">
        <x:v>HIDROCORTISONA 500MG - CX/50 - BLAU</x:v>
      </x:c>
      <x:c r="G135" s="22" t="str">
        <x:v>HIDROCORTISONA</x:v>
      </x:c>
      <x:c r="H135" s="22" t="str">
        <x:v>500MG</x:v>
      </x:c>
      <x:c r="I135" s="22" t="str"/>
      <x:c r="J135" s="22" t="str">
        <x:v>CX/50 | CX | CONTEUDO50 | FATOR50</x:v>
      </x:c>
      <x:c r="K135" s="22" t="str">
        <x:v>CAIXA</x:v>
      </x:c>
      <x:c r="L135" s="22" t="str">
        <x:v>BLAU</x:v>
      </x:c>
      <x:c r="M135" s="28" t="str">
        <x:f>"GTIN: 7896014688456"</x:f>
        <x:v>GTIN: 7896014688456</x:v>
      </x:c>
      <x:c r="N135" s="28" t="str">
        <x:f>"29372120"</x:f>
        <x:v>29372120</x:v>
      </x:c>
      <x:c r="O135" s="29" t="n">
        <x:v>2.5</x:v>
      </x:c>
      <x:c r="P135" s="29" t="n">
        <x:v>4.55</x:v>
      </x:c>
      <x:c r="Q135" s="28" t="str">
        <x:f>"497"</x:f>
        <x:v>497</x:v>
      </x:c>
      <x:c r="R135" s="28" t="str">
        <x:f>"H5F0004"</x:f>
        <x:v>H5F0004</x:v>
      </x:c>
      <x:c r="S135" s="22" t="str"/>
      <x:c r="T135" s="22" t="str">
        <x:v>HIDROCORTISONA - 500MG - CAIXA - CX/50 | CX | CONTEUDO50 | FATOR50 - BLAU</x:v>
      </x:c>
      <x:c r="U135" s="27" t="str"/>
      <x:c r="V135" s="27" t="str"/>
    </x:row>
    <x:row r="136">
      <x:c r="A136" s="28" t="str">
        <x:f>"G-210"</x:f>
        <x:v>G-210</x:v>
      </x:c>
      <x:c r="B136" s="22" t="str">
        <x:v>LUVA NITRILICA AZUL M PO</x:v>
      </x:c>
      <x:c r="C136" s="22" t="str">
        <x:v>MÉDIO</x:v>
      </x:c>
      <x:c r="D136" s="22" t="str">
        <x:v>MANTER separado como variante/SKU</x:v>
      </x:c>
      <x:c r="E136" s="28" t="str">
        <x:f>"LNP0002"</x:f>
        <x:v>LNP0002</x:v>
      </x:c>
      <x:c r="F136" s="22" t="str">
        <x:v>LUVA NITRÍLICA AZUL M S/ PÓ - CX/10 - GLOMED</x:v>
      </x:c>
      <x:c r="G136" s="22" t="str">
        <x:v>LUVA NITRILICA AZUL M PO</x:v>
      </x:c>
      <x:c r="H136" s="22" t="str"/>
      <x:c r="I136" s="22" t="str"/>
      <x:c r="J136" s="22" t="str">
        <x:v>CX/10 | CX | CONTEUDO10 | FATOR10</x:v>
      </x:c>
      <x:c r="K136" s="22" t="str">
        <x:v>CAIXA</x:v>
      </x:c>
      <x:c r="L136" s="22" t="str">
        <x:v>GLOMED</x:v>
      </x:c>
      <x:c r="M136" s="28" t="str"/>
      <x:c r="N136" s="28" t="str">
        <x:f>"40151900"</x:f>
        <x:v>40151900</x:v>
      </x:c>
      <x:c r="O136" s="29" t="n">
        <x:v>9</x:v>
      </x:c>
      <x:c r="P136" s="29" t="n">
        <x:v>22.5</x:v>
      </x:c>
      <x:c r="Q136" s="28" t="str">
        <x:f>"569"</x:f>
        <x:v>569</x:v>
      </x:c>
      <x:c r="R136" s="28" t="str">
        <x:f>"LNP0002"</x:f>
        <x:v>LNP0002</x:v>
      </x:c>
      <x:c r="S136" s="22" t="str">
        <x:v>GTIN ausente ou invalido</x:v>
      </x:c>
      <x:c r="T136" s="22" t="str">
        <x:v>LUVA NITRILICA AZUL M PO - CAIXA - CX/10 | CX | CONTEUDO10 | FATOR10 - GLOMED</x:v>
      </x:c>
      <x:c r="U136" s="27" t="str"/>
      <x:c r="V136" s="27" t="str"/>
    </x:row>
    <x:row r="137">
      <x:c r="A137" s="28" t="str">
        <x:f>"G-210"</x:f>
        <x:v>G-210</x:v>
      </x:c>
      <x:c r="B137" s="22" t="str">
        <x:v>LUVA NITRILICA AZUL M PO</x:v>
      </x:c>
      <x:c r="C137" s="22" t="str">
        <x:v>MÉDIO</x:v>
      </x:c>
      <x:c r="D137" s="22" t="str">
        <x:v>MANTER separado como variante/SKU</x:v>
      </x:c>
      <x:c r="E137" s="28" t="str">
        <x:f>"LNA0001"</x:f>
        <x:v>LNA0001</x:v>
      </x:c>
      <x:c r="F137" s="22" t="str">
        <x:v>LUVA NITRÍLICA AZUL M S/ PÓ - CX/100 - DESCARPACK</x:v>
      </x:c>
      <x:c r="G137" s="22" t="str">
        <x:v>LUVA NITRILICA AZUL M PO</x:v>
      </x:c>
      <x:c r="H137" s="22" t="str"/>
      <x:c r="I137" s="22" t="str"/>
      <x:c r="J137" s="22" t="str">
        <x:v>CX/100 | CX | CONTEUDO100 | FATOR100</x:v>
      </x:c>
      <x:c r="K137" s="22" t="str">
        <x:v>CAIXA</x:v>
      </x:c>
      <x:c r="L137" s="22" t="str">
        <x:v>DESCARPACK</x:v>
      </x:c>
      <x:c r="M137" s="28" t="str"/>
      <x:c r="N137" s="28" t="str">
        <x:f>"40151900"</x:f>
        <x:v>40151900</x:v>
      </x:c>
      <x:c r="O137" s="29" t="n">
        <x:v>9</x:v>
      </x:c>
      <x:c r="P137" s="29" t="n">
        <x:v>22.5</x:v>
      </x:c>
      <x:c r="Q137" s="28" t="str">
        <x:f>"570"</x:f>
        <x:v>570</x:v>
      </x:c>
      <x:c r="R137" s="28" t="str">
        <x:f>"LNA0001"</x:f>
        <x:v>LNA0001</x:v>
      </x:c>
      <x:c r="S137" s="22" t="str">
        <x:v>GTIN ausente ou invalido</x:v>
      </x:c>
      <x:c r="T137" s="22" t="str">
        <x:v>LUVA NITRILICA AZUL M PO - CAIXA - CX/100 | CX | CONTEUDO100 | FATOR100 - DESCARPACK</x:v>
      </x:c>
      <x:c r="U137" s="27" t="str"/>
      <x:c r="V137" s="27" t="str"/>
    </x:row>
    <x:row r="138">
      <x:c r="A138" s="28" t="str">
        <x:f>"G-210"</x:f>
        <x:v>G-210</x:v>
      </x:c>
      <x:c r="B138" s="22" t="str">
        <x:v>LUVA NITRILICA AZUL M PO</x:v>
      </x:c>
      <x:c r="C138" s="22" t="str">
        <x:v>MÉDIO</x:v>
      </x:c>
      <x:c r="D138" s="22" t="str">
        <x:v>MANTER separado como variante/SKU</x:v>
      </x:c>
      <x:c r="E138" s="28" t="str">
        <x:f>"LNA0002"</x:f>
        <x:v>LNA0002</x:v>
      </x:c>
      <x:c r="F138" s="22" t="str">
        <x:v>LUVA NITRÍLICA AZUL M S/ PÓ - CX/100 - SECUREMED</x:v>
      </x:c>
      <x:c r="G138" s="22" t="str">
        <x:v>LUVA NITRILICA AZUL M PO</x:v>
      </x:c>
      <x:c r="H138" s="22" t="str"/>
      <x:c r="I138" s="22" t="str"/>
      <x:c r="J138" s="22" t="str">
        <x:v>CX/100 | CX | CONTEUDO100 | FATOR100</x:v>
      </x:c>
      <x:c r="K138" s="22" t="str">
        <x:v>CAIXA</x:v>
      </x:c>
      <x:c r="L138" s="22" t="str">
        <x:v>SECUREMED</x:v>
      </x:c>
      <x:c r="M138" s="28" t="str"/>
      <x:c r="N138" s="28" t="str">
        <x:f>"40151900"</x:f>
        <x:v>40151900</x:v>
      </x:c>
      <x:c r="O138" s="29" t="n">
        <x:v>9</x:v>
      </x:c>
      <x:c r="P138" s="29" t="n">
        <x:v>22.5</x:v>
      </x:c>
      <x:c r="Q138" s="28" t="str">
        <x:f>"571"</x:f>
        <x:v>571</x:v>
      </x:c>
      <x:c r="R138" s="28" t="str">
        <x:f>"LNA0002"</x:f>
        <x:v>LNA0002</x:v>
      </x:c>
      <x:c r="S138" s="22" t="str">
        <x:v>GTIN ausente ou invalido</x:v>
      </x:c>
      <x:c r="T138" s="22" t="str">
        <x:v>LUVA NITRILICA AZUL M PO - CAIXA - CX/100 | CX | CONTEUDO100 | FATOR100 - SECUREMED</x:v>
      </x:c>
      <x:c r="U138" s="27" t="str"/>
      <x:c r="V138" s="27" t="str"/>
    </x:row>
    <x:row r="139">
      <x:c r="A139" s="28" t="str">
        <x:f>"G-237"</x:f>
        <x:v>G-237</x:v>
      </x:c>
      <x:c r="B139" s="22" t="str">
        <x:v>OMEPRAZOL</x:v>
      </x:c>
      <x:c r="C139" s="22" t="str">
        <x:v>MÉDIO</x:v>
      </x:c>
      <x:c r="D139" s="22" t="str">
        <x:v>MANTER separado como variante/SKU</x:v>
      </x:c>
      <x:c r="E139" s="28" t="str">
        <x:f>"O4U0002"</x:f>
        <x:v>O4U0002</x:v>
      </x:c>
      <x:c r="F139" s="22" t="str">
        <x:v>OMEPRAZOL 40MG - CX/50 - UNIÃO QUIMICA</x:v>
      </x:c>
      <x:c r="G139" s="22" t="str">
        <x:v>OMEPRAZOL</x:v>
      </x:c>
      <x:c r="H139" s="22" t="str">
        <x:v>40MG</x:v>
      </x:c>
      <x:c r="I139" s="22" t="str"/>
      <x:c r="J139" s="22" t="str">
        <x:v>CX/50 | CX | CONTEUDO50 | FATOR50</x:v>
      </x:c>
      <x:c r="K139" s="22" t="str">
        <x:v>CAIXA</x:v>
      </x:c>
      <x:c r="L139" s="22" t="str">
        <x:v>UNIAO QUIMICA</x:v>
      </x:c>
      <x:c r="M139" s="28" t="str">
        <x:f>"GTIN: 07891317420024"</x:f>
        <x:v>GTIN: 07891317420024</x:v>
      </x:c>
      <x:c r="N139" s="28" t="str">
        <x:f>"30049069"</x:f>
        <x:v>30049069</x:v>
      </x:c>
      <x:c r="O139" s="29" t="n">
        <x:v>6</x:v>
      </x:c>
      <x:c r="P139" s="29" t="n">
        <x:v>9.28</x:v>
      </x:c>
      <x:c r="Q139" s="28" t="str">
        <x:f>"631"</x:f>
        <x:v>631</x:v>
      </x:c>
      <x:c r="R139" s="28" t="str">
        <x:f>"O4U0002"</x:f>
        <x:v>O4U0002</x:v>
      </x:c>
      <x:c r="S139" s="22" t="str"/>
      <x:c r="T139" s="22" t="str">
        <x:v>OMEPRAZOL - 40MG - CAIXA - CX/50 | CX | CONTEUDO50 | FATOR50 - UNIAO QUIMICA</x:v>
      </x:c>
      <x:c r="U139" s="27" t="str"/>
      <x:c r="V139" s="27" t="str"/>
    </x:row>
    <x:row r="140">
      <x:c r="A140" s="28" t="str">
        <x:f>"G-237"</x:f>
        <x:v>G-237</x:v>
      </x:c>
      <x:c r="B140" s="22" t="str">
        <x:v>OMEPRAZOL</x:v>
      </x:c>
      <x:c r="C140" s="22" t="str">
        <x:v>MÉDIO</x:v>
      </x:c>
      <x:c r="D140" s="22" t="str">
        <x:v>MANTER separado como variante/SKU</x:v>
      </x:c>
      <x:c r="E140" s="28" t="str">
        <x:f>"O410002"</x:f>
        <x:v>O410002</x:v>
      </x:c>
      <x:c r="F140" s="22" t="str">
        <x:v>OMEPRAZOL 40MG 10ML - CX/25 - CRISTALIA</x:v>
      </x:c>
      <x:c r="G140" s="22" t="str">
        <x:v>OMEPRAZOL</x:v>
      </x:c>
      <x:c r="H140" s="22" t="str">
        <x:v>40MG | 10ML</x:v>
      </x:c>
      <x:c r="I140" s="22" t="str"/>
      <x:c r="J140" s="22" t="str">
        <x:v>CX/25 | CX | CONTEUDO25 | FATOR25</x:v>
      </x:c>
      <x:c r="K140" s="22" t="str">
        <x:v>CAIXA</x:v>
      </x:c>
      <x:c r="L140" s="22" t="str">
        <x:v>CRISTALIA</x:v>
      </x:c>
      <x:c r="M140" s="28" t="str">
        <x:f>"GTIN: 7896676411379"</x:f>
        <x:v>GTIN: 7896676411379</x:v>
      </x:c>
      <x:c r="N140" s="28" t="str">
        <x:f>"30049069"</x:f>
        <x:v>30049069</x:v>
      </x:c>
      <x:c r="O140" s="29" t="n">
        <x:v>6</x:v>
      </x:c>
      <x:c r="P140" s="29" t="n">
        <x:v>9.28</x:v>
      </x:c>
      <x:c r="Q140" s="28" t="str">
        <x:f>"632"</x:f>
        <x:v>632</x:v>
      </x:c>
      <x:c r="R140" s="28" t="str">
        <x:f>"O410002"</x:f>
        <x:v>O410002</x:v>
      </x:c>
      <x:c r="S140" s="22" t="str"/>
      <x:c r="T140" s="22" t="str">
        <x:v>OMEPRAZOL - 40MG | 10ML - CAIXA - CX/25 | CX | CONTEUDO25 | FATOR25 - CRISTALIA</x:v>
      </x:c>
      <x:c r="U140" s="27" t="str"/>
      <x:c r="V140" s="27" t="str"/>
    </x:row>
    <x:row r="141">
      <x:c r="A141" s="28" t="str">
        <x:f>"G-237"</x:f>
        <x:v>G-237</x:v>
      </x:c>
      <x:c r="B141" s="22" t="str">
        <x:v>OMEPRAZOL</x:v>
      </x:c>
      <x:c r="C141" s="22" t="str">
        <x:v>MÉDIO</x:v>
      </x:c>
      <x:c r="D141" s="22" t="str">
        <x:v>MANTER separado como variante/SKU</x:v>
      </x:c>
      <x:c r="E141" s="28" t="str">
        <x:f>"O4-0004"</x:f>
        <x:v>O4-0004</x:v>
      </x:c>
      <x:c r="F141" s="22" t="str">
        <x:v>OMEPRAZOL 40MG/10ML - CX/20 - BLAU</x:v>
      </x:c>
      <x:c r="G141" s="22" t="str">
        <x:v>OMEPRAZOL</x:v>
      </x:c>
      <x:c r="H141" s="22" t="str">
        <x:v>40MG/10ML | 40MG | 10ML</x:v>
      </x:c>
      <x:c r="I141" s="22" t="str"/>
      <x:c r="J141" s="22" t="str">
        <x:v>CX/20 | CX | CONTEUDO20 | FATOR20</x:v>
      </x:c>
      <x:c r="K141" s="22" t="str">
        <x:v>CAIXA</x:v>
      </x:c>
      <x:c r="L141" s="22" t="str">
        <x:v>BLAU</x:v>
      </x:c>
      <x:c r="M141" s="28" t="str">
        <x:f>"GTIN: 7896014688289"</x:f>
        <x:v>GTIN: 7896014688289</x:v>
      </x:c>
      <x:c r="N141" s="28" t="str">
        <x:f>"30049069"</x:f>
        <x:v>30049069</x:v>
      </x:c>
      <x:c r="O141" s="29" t="n">
        <x:v>5</x:v>
      </x:c>
      <x:c r="P141" s="29" t="n">
        <x:v>9.28</x:v>
      </x:c>
      <x:c r="Q141" s="28" t="str">
        <x:f>"633 | 634 | 635"</x:f>
        <x:v>633 | 634 | 635</x:v>
      </x:c>
      <x:c r="R141" s="28" t="str">
        <x:f>"O4-0004 | O4B0008 | O4-0003"</x:f>
        <x:v>O4-0004 | O4B0008 | O4-0003</x:v>
      </x:c>
      <x:c r="S141" s="22" t="str">
        <x:v>varios codigos legados consolidados em um produto</x:v>
      </x:c>
      <x:c r="T141" s="22" t="str">
        <x:v>OMEPRAZOL - 40MG/10ML | 40MG | 10ML - CAIXA - CX/20 | CX | CONTEUDO20 | FATOR20 - BLAU</x:v>
      </x:c>
      <x:c r="U141" s="27" t="str"/>
      <x:c r="V141" s="27" t="str"/>
    </x:row>
    <x:row r="142">
      <x:c r="A142" s="28" t="str">
        <x:f>"G-298"</x:f>
        <x:v>G-298</x:v>
      </x:c>
      <x:c r="B142" s="22" t="str">
        <x:v>WRAP LEVE VERDE N ESTERIL</x:v>
      </x:c>
      <x:c r="C142" s="22" t="str">
        <x:v>MÉDIO</x:v>
      </x:c>
      <x:c r="D142" s="22" t="str">
        <x:v>MANTER separado como variante/SKU</x:v>
      </x:c>
      <x:c r="E142" s="28" t="str">
        <x:f>"WL10003"</x:f>
        <x:v>WL10003</x:v>
      </x:c>
      <x:c r="F142" s="22" t="str">
        <x:v>WRAP LEVE 0,80X0,80 VERDE N/ESTERIL - CX/250 - PION G</x:v>
      </x:c>
      <x:c r="G142" s="22" t="str">
        <x:v>WRAP LEVE VERDE N ESTERIL</x:v>
      </x:c>
      <x:c r="H142" s="22" t="str"/>
      <x:c r="I142" s="22" t="str">
        <x:v>0,80X0,80</x:v>
      </x:c>
      <x:c r="J142" s="22" t="str">
        <x:v>CX/250 | CX | CONTEUDO250 | FATOR250</x:v>
      </x:c>
      <x:c r="K142" s="22" t="str">
        <x:v>CAIXA</x:v>
      </x:c>
      <x:c r="L142" s="22" t="str">
        <x:v>PION G</x:v>
      </x:c>
      <x:c r="M142" s="28" t="str">
        <x:f>"GTIN: 7908267458875"</x:f>
        <x:v>GTIN: 7908267458875</x:v>
      </x:c>
      <x:c r="N142" s="28" t="str">
        <x:f>"56031290"</x:f>
        <x:v>56031290</x:v>
      </x:c>
      <x:c r="O142" s="29" t="n">
        <x:v>1.39</x:v>
      </x:c>
      <x:c r="P142" s="29" t="n">
        <x:v>2.1</x:v>
      </x:c>
      <x:c r="Q142" s="28" t="str">
        <x:f>"819"</x:f>
        <x:v>819</x:v>
      </x:c>
      <x:c r="R142" s="28" t="str">
        <x:f>"WL10003"</x:f>
        <x:v>WL10003</x:v>
      </x:c>
      <x:c r="S142" s="22" t="str"/>
      <x:c r="T142" s="22" t="str">
        <x:v>WRAP LEVE VERDE N ESTERIL - 0,80X0,80 - CAIXA - CX/250 | CX | CONTEUDO250 | FATOR250 - PION G</x:v>
      </x:c>
      <x:c r="U142" s="27" t="str"/>
      <x:c r="V142" s="27" t="str"/>
    </x:row>
    <x:row r="143">
      <x:c r="A143" s="28" t="str">
        <x:f>"G-298"</x:f>
        <x:v>G-298</x:v>
      </x:c>
      <x:c r="B143" s="22" t="str">
        <x:v>WRAP LEVE VERDE N ESTERIL</x:v>
      </x:c>
      <x:c r="C143" s="22" t="str">
        <x:v>MÉDIO</x:v>
      </x:c>
      <x:c r="D143" s="22" t="str">
        <x:v>MANTER separado como variante/SKU</x:v>
      </x:c>
      <x:c r="E143" s="28" t="str">
        <x:f>"WL10001"</x:f>
        <x:v>WL10001</x:v>
      </x:c>
      <x:c r="F143" s="22" t="str">
        <x:v>WRAP LEVE 1,00X1,00 VERDE N/ESTERIL - CX/150 - PION G</x:v>
      </x:c>
      <x:c r="G143" s="22" t="str">
        <x:v>WRAP LEVE VERDE N ESTERIL</x:v>
      </x:c>
      <x:c r="H143" s="22" t="str"/>
      <x:c r="I143" s="22" t="str">
        <x:v>1,00X1,00</x:v>
      </x:c>
      <x:c r="J143" s="22" t="str">
        <x:v>CX/150 | CX | CONTEUDO150 | FATOR150</x:v>
      </x:c>
      <x:c r="K143" s="22" t="str">
        <x:v>CAIXA</x:v>
      </x:c>
      <x:c r="L143" s="22" t="str">
        <x:v>PION G</x:v>
      </x:c>
      <x:c r="M143" s="28" t="str">
        <x:f>"GTIN: 07898010920790"</x:f>
        <x:v>GTIN: 07898010920790</x:v>
      </x:c>
      <x:c r="N143" s="28" t="str">
        <x:f>"56031290"</x:f>
        <x:v>56031290</x:v>
      </x:c>
      <x:c r="O143" s="29" t="n">
        <x:v>2.03</x:v>
      </x:c>
      <x:c r="P143" s="29" t="n">
        <x:v>3.65</x:v>
      </x:c>
      <x:c r="Q143" s="28" t="str">
        <x:f>"820"</x:f>
        <x:v>820</x:v>
      </x:c>
      <x:c r="R143" s="28" t="str">
        <x:f>"WL10001"</x:f>
        <x:v>WL10001</x:v>
      </x:c>
      <x:c r="S143" s="22" t="str"/>
      <x:c r="T143" s="22" t="str">
        <x:v>WRAP LEVE VERDE N ESTERIL - 1,00X1,00 - CAIXA - CX/150 | CX | CONTEUDO150 | FATOR150 - PION G</x:v>
      </x:c>
      <x:c r="U143" s="27" t="str"/>
      <x:c r="V143" s="27" t="str"/>
    </x:row>
    <x:row r="144">
      <x:c r="A144" s="28" t="str">
        <x:f>"G-298"</x:f>
        <x:v>G-298</x:v>
      </x:c>
      <x:c r="B144" s="22" t="str">
        <x:v>WRAP LEVE VERDE N ESTERIL</x:v>
      </x:c>
      <x:c r="C144" s="22" t="str">
        <x:v>MÉDIO</x:v>
      </x:c>
      <x:c r="D144" s="22" t="str">
        <x:v>MANTER separado como variante/SKU</x:v>
      </x:c>
      <x:c r="E144" s="28" t="str">
        <x:f>"WL10002"</x:f>
        <x:v>WL10002</x:v>
      </x:c>
      <x:c r="F144" s="22" t="str">
        <x:v>WRAP LEVE 1,20X1,20 VERDE N/ESTERIL - CX/125 - PION G</x:v>
      </x:c>
      <x:c r="G144" s="22" t="str">
        <x:v>WRAP LEVE VERDE N ESTERIL</x:v>
      </x:c>
      <x:c r="H144" s="22" t="str"/>
      <x:c r="I144" s="22" t="str">
        <x:v>1,20X1,20</x:v>
      </x:c>
      <x:c r="J144" s="22" t="str">
        <x:v>CX/125 | CX | CONTEUDO125 | FATOR125</x:v>
      </x:c>
      <x:c r="K144" s="22" t="str">
        <x:v>CAIXA</x:v>
      </x:c>
      <x:c r="L144" s="22" t="str">
        <x:v>PION G</x:v>
      </x:c>
      <x:c r="M144" s="28" t="str">
        <x:f>"GTIN: 7908267458899"</x:f>
        <x:v>GTIN: 7908267458899</x:v>
      </x:c>
      <x:c r="N144" s="28" t="str">
        <x:f>"56031290"</x:f>
        <x:v>56031290</x:v>
      </x:c>
      <x:c r="O144" s="29" t="n">
        <x:v>2.83</x:v>
      </x:c>
      <x:c r="P144" s="29" t="n">
        <x:v>4.75</x:v>
      </x:c>
      <x:c r="Q144" s="28" t="str">
        <x:f>"821"</x:f>
        <x:v>821</x:v>
      </x:c>
      <x:c r="R144" s="28" t="str">
        <x:f>"WL10002"</x:f>
        <x:v>WL10002</x:v>
      </x:c>
      <x:c r="S144" s="22" t="str"/>
      <x:c r="T144" s="22" t="str">
        <x:v>WRAP LEVE VERDE N ESTERIL - 1,20X1,20 - CAIXA - CX/125 | CX | CONTEUDO125 | FATOR125 - PION G</x:v>
      </x:c>
      <x:c r="U144" s="27" t="str"/>
      <x:c r="V144" s="27" t="str"/>
    </x:row>
    <x:row r="145">
      <x:c r="A145" s="28" t="str">
        <x:f>"G-006"</x:f>
        <x:v>G-006</x:v>
      </x:c>
      <x:c r="B145" s="22" t="str">
        <x:v>AGUA DESTILADA</x:v>
      </x:c>
      <x:c r="C145" s="22" t="str">
        <x:v>MÉDIO</x:v>
      </x:c>
      <x:c r="D145" s="22" t="str">
        <x:v>MANTER separado como variante/SKU</x:v>
      </x:c>
      <x:c r="E145" s="28" t="str">
        <x:f>"ÁD10006"</x:f>
        <x:v>ÁD10006</x:v>
      </x:c>
      <x:c r="F145" s="22" t="str">
        <x:v>ÁGUA DESTILADA 10ML AP - FARMACE - CX/200</x:v>
      </x:c>
      <x:c r="G145" s="22" t="str">
        <x:v>AGUA DESTILADA</x:v>
      </x:c>
      <x:c r="H145" s="22" t="str">
        <x:v>10ML</x:v>
      </x:c>
      <x:c r="I145" s="22" t="str"/>
      <x:c r="J145" s="22" t="str">
        <x:v>AP | CX/200 | UN</x:v>
      </x:c>
      <x:c r="K145" s="22" t="str">
        <x:v>UNIDADE</x:v>
      </x:c>
      <x:c r="L145" s="22" t="str">
        <x:v>FARMACE</x:v>
      </x:c>
      <x:c r="M145" s="28" t="str">
        <x:f>"GTIN: 7896242140719"</x:f>
        <x:v>GTIN: 7896242140719</x:v>
      </x:c>
      <x:c r="N145" s="28" t="str">
        <x:f>"30049099"</x:f>
        <x:v>30049099</x:v>
      </x:c>
      <x:c r="O145" s="29" t="n">
        <x:v>0.18</x:v>
      </x:c>
      <x:c r="P145" s="29" t="n">
        <x:v>0</x:v>
      </x:c>
      <x:c r="Q145" s="28" t="str">
        <x:f>"15"</x:f>
        <x:v>15</x:v>
      </x:c>
      <x:c r="R145" s="28" t="str">
        <x:f>"ÁD10006"</x:f>
        <x:v>ÁD10006</x:v>
      </x:c>
      <x:c r="S145" s="22" t="str"/>
      <x:c r="T145" s="22" t="str">
        <x:v>AGUA DESTILADA - 10ML - UNIDADE - AP | CX/200 | UN - FARMACE</x:v>
      </x:c>
      <x:c r="U145" s="27" t="str"/>
      <x:c r="V145" s="27" t="str"/>
    </x:row>
    <x:row r="146">
      <x:c r="A146" s="28" t="str">
        <x:f>"G-006"</x:f>
        <x:v>G-006</x:v>
      </x:c>
      <x:c r="B146" s="22" t="str">
        <x:v>AGUA DESTILADA</x:v>
      </x:c>
      <x:c r="C146" s="22" t="str">
        <x:v>MÉDIO</x:v>
      </x:c>
      <x:c r="D146" s="22" t="str">
        <x:v>MANTER separado como variante/SKU</x:v>
      </x:c>
      <x:c r="E146" s="28" t="str">
        <x:f>"ÁD10005"</x:f>
        <x:v>ÁD10005</x:v>
      </x:c>
      <x:c r="F146" s="22" t="str">
        <x:v>ÁGUA DESTILADA 5000ML GL - FACILIMPE</x:v>
      </x:c>
      <x:c r="G146" s="22" t="str">
        <x:v>AGUA DESTILADA</x:v>
      </x:c>
      <x:c r="H146" s="22" t="str">
        <x:v>5000ML</x:v>
      </x:c>
      <x:c r="I146" s="22" t="str"/>
      <x:c r="J146" s="22" t="str">
        <x:v>GL | UN</x:v>
      </x:c>
      <x:c r="K146" s="22" t="str">
        <x:v>UNIDADE</x:v>
      </x:c>
      <x:c r="L146" s="22" t="str">
        <x:v>FACILIMPE</x:v>
      </x:c>
      <x:c r="M146" s="28" t="str">
        <x:f>"GTIN: 789891705266"</x:f>
        <x:v>GTIN: 789891705266</x:v>
      </x:c>
      <x:c r="N146" s="28" t="str">
        <x:f>"30049099"</x:f>
        <x:v>30049099</x:v>
      </x:c>
      <x:c r="O146" s="29" t="n">
        <x:v>0.18</x:v>
      </x:c>
      <x:c r="P146" s="29" t="n">
        <x:v>0</x:v>
      </x:c>
      <x:c r="Q146" s="28" t="str">
        <x:f>"20"</x:f>
        <x:v>20</x:v>
      </x:c>
      <x:c r="R146" s="28" t="str">
        <x:f>"ÁD10005"</x:f>
        <x:v>ÁD10005</x:v>
      </x:c>
      <x:c r="S146" s="22" t="str"/>
      <x:c r="T146" s="22" t="str">
        <x:v>AGUA DESTILADA - 5000ML - UNIDADE - GL | UN - FACILIMPE</x:v>
      </x:c>
      <x:c r="U146" s="27" t="str"/>
      <x:c r="V146" s="27" t="str"/>
    </x:row>
    <x:row r="147">
      <x:c r="A147" s="28" t="str">
        <x:f>"G-010"</x:f>
        <x:v>G-010</x:v>
      </x:c>
      <x:c r="B147" s="22" t="str">
        <x:v>AGULHA DESCARPACK</x:v>
      </x:c>
      <x:c r="C147" s="22" t="str">
        <x:v>MÉDIO</x:v>
      </x:c>
      <x:c r="D147" s="22" t="str">
        <x:v>MANTER separado como variante/SKU</x:v>
      </x:c>
      <x:c r="E147" s="28" t="str">
        <x:f>"A1C0001"</x:f>
        <x:v>A1C0001</x:v>
      </x:c>
      <x:c r="F147" s="22" t="str">
        <x:v>AGULHA 13X0,45MM CX/100 DESCARPACK</x:v>
      </x:c>
      <x:c r="G147" s="22" t="str">
        <x:v>AGULHA DESCARPACK</x:v>
      </x:c>
      <x:c r="H147" s="22" t="str"/>
      <x:c r="I147" s="22" t="str">
        <x:v>13X0,45MM</x:v>
      </x:c>
      <x:c r="J147" s="22" t="str">
        <x:v>CX/100 | CX | CONTEUDO100 | FATOR100</x:v>
      </x:c>
      <x:c r="K147" s="22" t="str">
        <x:v>CAIXA</x:v>
      </x:c>
      <x:c r="L147" s="22" t="str">
        <x:v>SOLIDOR</x:v>
      </x:c>
      <x:c r="M147" s="28" t="str">
        <x:f>"GTIN: 7898283814222"</x:f>
        <x:v>GTIN: 7898283814222</x:v>
      </x:c>
      <x:c r="N147" s="28" t="str">
        <x:f>"90183219"</x:f>
        <x:v>90183219</x:v>
      </x:c>
      <x:c r="O147" s="29" t="n">
        <x:v>0.05</x:v>
      </x:c>
      <x:c r="P147" s="29" t="n">
        <x:v>0.07</x:v>
      </x:c>
      <x:c r="Q147" s="28" t="str">
        <x:f>"24"</x:f>
        <x:v>24</x:v>
      </x:c>
      <x:c r="R147" s="28" t="str">
        <x:f>"A1C0001"</x:f>
        <x:v>A1C0001</x:v>
      </x:c>
      <x:c r="S147" s="22" t="str"/>
      <x:c r="T147" s="22" t="str">
        <x:v>AGULHA DESCARPACK - 13X0,45MM - CAIXA - CX/100 | CX | CONTEUDO100 | FATOR100 - SOLIDOR</x:v>
      </x:c>
      <x:c r="U147" s="27" t="str"/>
      <x:c r="V147" s="27" t="str"/>
    </x:row>
    <x:row r="148">
      <x:c r="A148" s="28" t="str">
        <x:f>"G-010"</x:f>
        <x:v>G-010</x:v>
      </x:c>
      <x:c r="B148" s="22" t="str">
        <x:v>AGULHA DESCARPACK</x:v>
      </x:c>
      <x:c r="C148" s="22" t="str">
        <x:v>MÉDIO</x:v>
      </x:c>
      <x:c r="D148" s="22" t="str">
        <x:v>MANTER separado como variante/SKU</x:v>
      </x:c>
      <x:c r="E148" s="28" t="str">
        <x:f>"A3X0007"</x:f>
        <x:v>A3X0007</x:v>
      </x:c>
      <x:c r="F148" s="22" t="str">
        <x:v>AGULHA 30X0,8MM CX/100 DESCARPACK</x:v>
      </x:c>
      <x:c r="G148" s="22" t="str">
        <x:v>AGULHA DESCARPACK</x:v>
      </x:c>
      <x:c r="H148" s="22" t="str"/>
      <x:c r="I148" s="22" t="str">
        <x:v>30X0,8MM</x:v>
      </x:c>
      <x:c r="J148" s="22" t="str">
        <x:v>CX/100 | CX | CONTEUDO100 | FATOR100</x:v>
      </x:c>
      <x:c r="K148" s="22" t="str">
        <x:v>CAIXA</x:v>
      </x:c>
      <x:c r="L148" s="22" t="str">
        <x:v>SOLIDOR</x:v>
      </x:c>
      <x:c r="M148" s="28" t="str">
        <x:f>"GTIN: 7898283814246"</x:f>
        <x:v>GTIN: 7898283814246</x:v>
      </x:c>
      <x:c r="N148" s="28" t="str">
        <x:f>"90183219"</x:f>
        <x:v>90183219</x:v>
      </x:c>
      <x:c r="O148" s="29" t="n">
        <x:v>0.03</x:v>
      </x:c>
      <x:c r="P148" s="29" t="n">
        <x:v>0.06</x:v>
      </x:c>
      <x:c r="Q148" s="28" t="str">
        <x:f>"29"</x:f>
        <x:v>29</x:v>
      </x:c>
      <x:c r="R148" s="28" t="str">
        <x:f>"A3X0007"</x:f>
        <x:v>A3X0007</x:v>
      </x:c>
      <x:c r="S148" s="22" t="str">
        <x:v>GTIN repetido em produtos distintos</x:v>
      </x:c>
      <x:c r="T148" s="22" t="str">
        <x:v>AGULHA DESCARPACK - 30X0,8MM - CAIXA - CX/100 | CX | CONTEUDO100 | FATOR100 - SOLIDOR</x:v>
      </x:c>
      <x:c r="U148" s="27" t="str"/>
      <x:c r="V148" s="27" t="str"/>
    </x:row>
    <x:row r="149">
      <x:c r="A149" s="28" t="str">
        <x:f>"G-015"</x:f>
        <x:v>G-015</x:v>
      </x:c>
      <x:c r="B149" s="22" t="str">
        <x:v>ALBUMINA HUMANA</x:v>
      </x:c>
      <x:c r="C149" s="22" t="str">
        <x:v>MÉDIO</x:v>
      </x:c>
      <x:c r="D149" s="22" t="str">
        <x:v>MANTER separado como variante/SKU</x:v>
      </x:c>
      <x:c r="E149" s="28" t="str">
        <x:f>"AH20009"</x:f>
        <x:v>AH20009</x:v>
      </x:c>
      <x:c r="F149" s="22" t="str">
        <x:v>ALBUMINA HUMANA 20% 10G/50ML CX/01 - GRIFOLS</x:v>
      </x:c>
      <x:c r="G149" s="22" t="str">
        <x:v>ALBUMINA HUMANA %</x:v>
      </x:c>
      <x:c r="H149" s="22" t="str">
        <x:v>10G/50ML | 10G | 50ML</x:v>
      </x:c>
      <x:c r="I149" s="22" t="str">
        <x:v>10G</x:v>
      </x:c>
      <x:c r="J149" s="22" t="str">
        <x:v>CX/01 | UN</x:v>
      </x:c>
      <x:c r="K149" s="22" t="str">
        <x:v>UNIDADE</x:v>
      </x:c>
      <x:c r="L149" s="22" t="str">
        <x:v>GRIFOLS</x:v>
      </x:c>
      <x:c r="M149" s="28" t="str"/>
      <x:c r="N149" s="28" t="str">
        <x:f>"30049079"</x:f>
        <x:v>30049079</x:v>
      </x:c>
      <x:c r="O149" s="29" t="n">
        <x:v>50</x:v>
      </x:c>
      <x:c r="P149" s="29" t="n">
        <x:v>0</x:v>
      </x:c>
      <x:c r="Q149" s="28" t="str">
        <x:f>"35 | 36 | 37 | 38 | 39"</x:f>
        <x:v>35 | 36 | 37 | 38 | 39</x:v>
      </x:c>
      <x:c r="R149" s="28" t="str">
        <x:f>"AH20009 | AH20006 | AH20008 | AH20007 | AH20005"</x:f>
        <x:v>AH20009 | AH20006 | AH20008 | AH20007 | AH20005</x:v>
      </x:c>
      <x:c r="S149" s="22" t="str">
        <x:v>varios codigos legados consolidados em um produto; GTIN ausente ou invalido</x:v>
      </x:c>
      <x:c r="T149" s="22" t="str">
        <x:v>ALBUMINA HUMANA % - 10G/50ML | 10G | 50ML - 10G - UNIDADE - CX/01 | UN - GRIFOLS</x:v>
      </x:c>
      <x:c r="U149" s="27" t="str"/>
      <x:c r="V149" s="27" t="str"/>
    </x:row>
    <x:row r="150">
      <x:c r="A150" s="28" t="str">
        <x:f>"G-015"</x:f>
        <x:v>G-015</x:v>
      </x:c>
      <x:c r="B150" s="22" t="str">
        <x:v>ALBUMINA HUMANA</x:v>
      </x:c>
      <x:c r="C150" s="22" t="str">
        <x:v>MÉDIO</x:v>
      </x:c>
      <x:c r="D150" s="22" t="str">
        <x:v>MANTER separado como variante/SKU</x:v>
      </x:c>
      <x:c r="E150" s="28" t="str">
        <x:f>"AH20001"</x:f>
        <x:v>AH20001</x:v>
      </x:c>
      <x:c r="F150" s="22" t="str">
        <x:v>ALBUMINA HUMANA 200G/L FR 50 ML - KEDRION</x:v>
      </x:c>
      <x:c r="G150" s="22" t="str">
        <x:v>ALBUMINA HUMANA</x:v>
      </x:c>
      <x:c r="H150" s="22" t="str">
        <x:v>200G/L | 200G | 50ML</x:v>
      </x:c>
      <x:c r="I150" s="22" t="str">
        <x:v>200G</x:v>
      </x:c>
      <x:c r="J150" s="22" t="str">
        <x:v>FR50 | UN</x:v>
      </x:c>
      <x:c r="K150" s="22" t="str">
        <x:v>UNIDADE</x:v>
      </x:c>
      <x:c r="L150" s="22" t="str">
        <x:v>KEDRION</x:v>
      </x:c>
      <x:c r="M150" s="28" t="str">
        <x:f>"GTIN: 7896014640010"</x:f>
        <x:v>GTIN: 7896014640010</x:v>
      </x:c>
      <x:c r="N150" s="28" t="str">
        <x:f>"30049079"</x:f>
        <x:v>30049079</x:v>
      </x:c>
      <x:c r="O150" s="29" t="n">
        <x:v>50</x:v>
      </x:c>
      <x:c r="P150" s="29" t="n">
        <x:v>149</x:v>
      </x:c>
      <x:c r="Q150" s="28" t="str">
        <x:f>"40 | 41 | 42"</x:f>
        <x:v>40 | 41 | 42</x:v>
      </x:c>
      <x:c r="R150" s="28" t="str">
        <x:f>"AH20002 | AH20001 | AH20003"</x:f>
        <x:v>AH20002 | AH20001 | AH20003</x:v>
      </x:c>
      <x:c r="S150" s="22" t="str">
        <x:v>varios codigos legados consolidados em um produto</x:v>
      </x:c>
      <x:c r="T150" s="22" t="str">
        <x:v>ALBUMINA HUMANA - 200G/L | 200G | 50ML - 200G - UNIDADE - FR50 | UN - KEDRION</x:v>
      </x:c>
      <x:c r="U150" s="27" t="str"/>
      <x:c r="V150" s="27" t="str"/>
    </x:row>
    <x:row r="151">
      <x:c r="A151" s="28" t="str">
        <x:f>"G-061"</x:f>
        <x:v>G-061</x:v>
      </x:c>
      <x:c r="B151" s="22" t="str">
        <x:v>CEFTAZIDIMA PENTAIDRATADA</x:v>
      </x:c>
      <x:c r="C151" s="22" t="str">
        <x:v>MÉDIO</x:v>
      </x:c>
      <x:c r="D151" s="22" t="str">
        <x:v>MANTER separado como variante/SKU</x:v>
      </x:c>
      <x:c r="E151" s="28" t="str">
        <x:f>"CP10002"</x:f>
        <x:v>CP10002</x:v>
      </x:c>
      <x:c r="F151" s="22" t="str">
        <x:v>CEFTAZIDIMA PENTAIDRATADA 1G - CX/50 - FRESENIUS</x:v>
      </x:c>
      <x:c r="G151" s="22" t="str">
        <x:v>CEFTAZIDIMA PENTAIDRATADA</x:v>
      </x:c>
      <x:c r="H151" s="22" t="str">
        <x:v>1G</x:v>
      </x:c>
      <x:c r="I151" s="22" t="str">
        <x:v>1G</x:v>
      </x:c>
      <x:c r="J151" s="22" t="str">
        <x:v>CX/50 | CX | CONTEUDO50 | FATOR50</x:v>
      </x:c>
      <x:c r="K151" s="22" t="str">
        <x:v>CAIXA</x:v>
      </x:c>
      <x:c r="L151" s="22" t="str">
        <x:v>FRESENIUS</x:v>
      </x:c>
      <x:c r="M151" s="28" t="str">
        <x:f>"GTIN: 7899498608934"</x:f>
        <x:v>GTIN: 7899498608934</x:v>
      </x:c>
      <x:c r="N151" s="28" t="str">
        <x:f>"30042059"</x:f>
        <x:v>30042059</x:v>
      </x:c>
      <x:c r="O151" s="29" t="n">
        <x:v>3</x:v>
      </x:c>
      <x:c r="P151" s="29" t="n">
        <x:v>13.47</x:v>
      </x:c>
      <x:c r="Q151" s="28" t="str">
        <x:f>"157 | 158"</x:f>
        <x:v>157 | 158</x:v>
      </x:c>
      <x:c r="R151" s="28" t="str">
        <x:f>"CP10004 | CP10002"</x:f>
        <x:v>CP10004 | CP10002</x:v>
      </x:c>
      <x:c r="S151" s="22" t="str">
        <x:v>varios codigos legados consolidados em um produto</x:v>
      </x:c>
      <x:c r="T151" s="22" t="str">
        <x:v>CEFTAZIDIMA PENTAIDRATADA - 1G - CAIXA - CX/50 | CX | CONTEUDO50 | FATOR50 - FRESENIUS</x:v>
      </x:c>
      <x:c r="U151" s="27" t="str"/>
      <x:c r="V151" s="27" t="str"/>
    </x:row>
    <x:row r="152">
      <x:c r="A152" s="28" t="str">
        <x:f>"G-061"</x:f>
        <x:v>G-061</x:v>
      </x:c>
      <x:c r="B152" s="22" t="str">
        <x:v>CEFTAZIDIMA PENTAIDRATADA</x:v>
      </x:c>
      <x:c r="C152" s="22" t="str">
        <x:v>MÉDIO</x:v>
      </x:c>
      <x:c r="D152" s="22" t="str">
        <x:v>MANTER separado como variante/SKU</x:v>
      </x:c>
      <x:c r="E152" s="28" t="str">
        <x:f>"CAS0002"</x:f>
        <x:v>CAS0002</x:v>
      </x:c>
      <x:c r="F152" s="22" t="str">
        <x:v>CEFTAZIDIMA PENTAIDRATADA 1G CX/25 - ABL</x:v>
      </x:c>
      <x:c r="G152" s="22" t="str">
        <x:v>CEFTAZIDIMA PENTAIDRATADA</x:v>
      </x:c>
      <x:c r="H152" s="22" t="str">
        <x:v>1G</x:v>
      </x:c>
      <x:c r="I152" s="22" t="str">
        <x:v>1G</x:v>
      </x:c>
      <x:c r="J152" s="22" t="str">
        <x:v>CX/25 | CX | CONTEUDO25 | FATOR25</x:v>
      </x:c>
      <x:c r="K152" s="22" t="str">
        <x:v>CAIXA</x:v>
      </x:c>
      <x:c r="L152" s="22" t="str">
        <x:v>ABL</x:v>
      </x:c>
      <x:c r="M152" s="28" t="str"/>
      <x:c r="N152" s="28" t="str">
        <x:f>"30042079"</x:f>
        <x:v>30042079</x:v>
      </x:c>
      <x:c r="O152" s="29" t="n">
        <x:v>6</x:v>
      </x:c>
      <x:c r="P152" s="29" t="n">
        <x:v>13.47</x:v>
      </x:c>
      <x:c r="Q152" s="28" t="str">
        <x:f>"159"</x:f>
        <x:v>159</x:v>
      </x:c>
      <x:c r="R152" s="28" t="str">
        <x:f>"CAS0002"</x:f>
        <x:v>CAS0002</x:v>
      </x:c>
      <x:c r="S152" s="22" t="str">
        <x:v>GTIN ausente ou invalido</x:v>
      </x:c>
      <x:c r="T152" s="22" t="str">
        <x:v>CEFTAZIDIMA PENTAIDRATADA - 1G - CAIXA - CX/25 | CX | CONTEUDO25 | FATOR25 - ABL</x:v>
      </x:c>
      <x:c r="U152" s="27" t="str"/>
      <x:c r="V152" s="27" t="str"/>
    </x:row>
    <x:row r="153">
      <x:c r="A153" s="28" t="str">
        <x:f>"G-085"</x:f>
        <x:v>G-085</x:v>
      </x:c>
      <x:c r="B153" s="22" t="str">
        <x:v>CLORETO SUXAMETONIO</x:v>
      </x:c>
      <x:c r="C153" s="22" t="str">
        <x:v>MÉDIO</x:v>
      </x:c>
      <x:c r="D153" s="22" t="str">
        <x:v>MANTER separado como variante/SKU</x:v>
      </x:c>
      <x:c r="E153" s="28" t="str">
        <x:f>"CS10027"</x:f>
        <x:v>CS10027</x:v>
      </x:c>
      <x:c r="F153" s="22" t="str">
        <x:v>CLORETO DE SUXAMETÔNIO 100MG - CX/1 - UNIAO QUIMICA</x:v>
      </x:c>
      <x:c r="G153" s="22" t="str">
        <x:v>CLORETO SUXAMETONIO</x:v>
      </x:c>
      <x:c r="H153" s="22" t="str">
        <x:v>100MG</x:v>
      </x:c>
      <x:c r="I153" s="22" t="str"/>
      <x:c r="J153" s="22" t="str">
        <x:v>CX/1 | UND</x:v>
      </x:c>
      <x:c r="K153" s="22" t="str">
        <x:v>UNIDADE</x:v>
      </x:c>
      <x:c r="L153" s="22" t="str">
        <x:v>UNIAO QUIMICA</x:v>
      </x:c>
      <x:c r="M153" s="28" t="str"/>
      <x:c r="N153" s="28" t="str">
        <x:f>"30049069"</x:f>
        <x:v>30049069</x:v>
      </x:c>
      <x:c r="O153" s="29" t="n">
        <x:v>10</x:v>
      </x:c>
      <x:c r="P153" s="29" t="n">
        <x:v>19.5</x:v>
      </x:c>
      <x:c r="Q153" s="28" t="str">
        <x:f>"232 | 233 | 234 | 235 | 236 | 237 | 238 | 239"</x:f>
        <x:v>232 | 233 | 234 | 235 | 236 | 237 | 238 | 239</x:v>
      </x:c>
      <x:c r="R153" s="28" t="str">
        <x:f>"CS10027 | CS10029 | CS10012 | CS10015 | CS10020 | CS10022 | CS10036 | CS10028"</x:f>
        <x:v>CS10027 | CS10029 | CS10012 | CS10015 | CS10020 | CS10022 | CS10036 | CS10028</x:v>
      </x:c>
      <x:c r="S153" s="22" t="str">
        <x:v>varios codigos legados consolidados em um produto; mais de um GTIN no mesmo produto; custo divergente entre lotes; preco de venda divergente entre lotes</x:v>
      </x:c>
      <x:c r="T153" s="22" t="str">
        <x:v>CLORETO SUXAMETONIO - 100MG - UNIDADE - CX/1 | UND - UNIAO QUIMICA</x:v>
      </x:c>
      <x:c r="U153" s="27" t="str"/>
      <x:c r="V153" s="27" t="str"/>
    </x:row>
    <x:row r="154">
      <x:c r="A154" s="28" t="str">
        <x:f>"G-085"</x:f>
        <x:v>G-085</x:v>
      </x:c>
      <x:c r="B154" s="22" t="str">
        <x:v>CLORETO SUXAMETONIO</x:v>
      </x:c>
      <x:c r="C154" s="22" t="str">
        <x:v>MÉDIO</x:v>
      </x:c>
      <x:c r="D154" s="22" t="str">
        <x:v>MANTER separado como variante/SKU</x:v>
      </x:c>
      <x:c r="E154" s="28" t="str">
        <x:f>"CS10035"</x:f>
        <x:v>CS10035</x:v>
      </x:c>
      <x:c r="F154" s="22" t="str">
        <x:v>CLORETO DE SUXAMETÔNIO 100MG - CX/10 - BLAU</x:v>
      </x:c>
      <x:c r="G154" s="22" t="str">
        <x:v>CLORETO SUXAMETONIO</x:v>
      </x:c>
      <x:c r="H154" s="22" t="str">
        <x:v>100MG</x:v>
      </x:c>
      <x:c r="I154" s="22" t="str"/>
      <x:c r="J154" s="22" t="str">
        <x:v>CX/10 | CX | CONTEUDO10 | FATOR10</x:v>
      </x:c>
      <x:c r="K154" s="22" t="str">
        <x:v>CAIXA</x:v>
      </x:c>
      <x:c r="L154" s="22" t="str">
        <x:v>BLAU</x:v>
      </x:c>
      <x:c r="M154" s="28" t="str">
        <x:f>"GTIN: 7896014682287"</x:f>
        <x:v>GTIN: 7896014682287</x:v>
      </x:c>
      <x:c r="N154" s="28" t="str">
        <x:f>"30049069"</x:f>
        <x:v>30049069</x:v>
      </x:c>
      <x:c r="O154" s="29" t="n">
        <x:v>10</x:v>
      </x:c>
      <x:c r="P154" s="29" t="n">
        <x:v>19.5</x:v>
      </x:c>
      <x:c r="Q154" s="28" t="str">
        <x:f>"240 | 241 | 242 | 243 | 244"</x:f>
        <x:v>240 | 241 | 242 | 243 | 244</x:v>
      </x:c>
      <x:c r="R154" s="28" t="str">
        <x:f>"CS10011 | CS10006 | CS10009 | CS10017 | CS10035"</x:f>
        <x:v>CS10011 | CS10006 | CS10009 | CS10017 | CS10035</x:v>
      </x:c>
      <x:c r="S154" s="22" t="str">
        <x:v>varios codigos legados consolidados em um produto; GTIN repetido em produtos distintos; unidade/embalagem divergente; preco de venda divergente entre lotes</x:v>
      </x:c>
      <x:c r="T154" s="22" t="str">
        <x:v>CLORETO SUXAMETONIO - 100MG - CAIXA - CX/10 | CX | CONTEUDO10 | FATOR10 - BLAU</x:v>
      </x:c>
      <x:c r="U154" s="27" t="str"/>
      <x:c r="V154" s="27" t="str"/>
    </x:row>
    <x:row r="155">
      <x:c r="A155" s="28" t="str">
        <x:f>"G-094"</x:f>
        <x:v>G-094</x:v>
      </x:c>
      <x:c r="B155" s="22" t="str">
        <x:v>CLORIDRATO ESCETAMINA KETAMIN</x:v>
      </x:c>
      <x:c r="C155" s="22" t="str">
        <x:v>MÉDIO</x:v>
      </x:c>
      <x:c r="D155" s="22" t="str">
        <x:v>MANTER separado como variante/SKU</x:v>
      </x:c>
      <x:c r="E155" s="28" t="str">
        <x:f>"CEK0001"</x:f>
        <x:v>CEK0001</x:v>
      </x:c>
      <x:c r="F155" s="22" t="str">
        <x:v>CLORIDRATO DE ESCETAMINA KETAMIN 50MG/ML AP 10ML CX/25 - CRISTÁLIA</x:v>
      </x:c>
      <x:c r="G155" s="22" t="str">
        <x:v>CLORIDRATO ESCETAMINA KETAMIN</x:v>
      </x:c>
      <x:c r="H155" s="22" t="str">
        <x:v>50MG/ML | 50MG | 10ML</x:v>
      </x:c>
      <x:c r="I155" s="22" t="str"/>
      <x:c r="J155" s="22" t="str">
        <x:v>AP | CX/25 | UN</x:v>
      </x:c>
      <x:c r="K155" s="22" t="str">
        <x:v>UNIDADE</x:v>
      </x:c>
      <x:c r="L155" s="22" t="str">
        <x:v>CRISTÁLIA</x:v>
      </x:c>
      <x:c r="M155" s="28" t="str"/>
      <x:c r="N155" s="28" t="str">
        <x:f>"30049032"</x:f>
        <x:v>30049032</x:v>
      </x:c>
      <x:c r="O155" s="29" t="n">
        <x:v>20</x:v>
      </x:c>
      <x:c r="P155" s="29" t="n">
        <x:v>0</x:v>
      </x:c>
      <x:c r="Q155" s="28" t="str">
        <x:f>"265 | 266 | 267 | 268 | 269 | 270"</x:f>
        <x:v>265 | 266 | 267 | 268 | 269 | 270</x:v>
      </x:c>
      <x:c r="R155" s="28" t="str">
        <x:f>"CEK0001 | CEK0008 | CEK0007 | CEK0009 | CEK0004 | CEK0002"</x:f>
        <x:v>CEK0001 | CEK0008 | CEK0007 | CEK0009 | CEK0004 | CEK0002</x:v>
      </x:c>
      <x:c r="S155" s="22" t="str">
        <x:v>varios codigos legados consolidados em um produto; mais de um GTIN no mesmo produto</x:v>
      </x:c>
      <x:c r="T155" s="22" t="str">
        <x:v>CLORIDRATO ESCETAMINA KETAMIN - 50MG/ML | 50MG | 10ML - UNIDADE - AP | CX/25 | UN - CRISTÁLIA</x:v>
      </x:c>
      <x:c r="U155" s="27" t="str"/>
      <x:c r="V155" s="27" t="str"/>
    </x:row>
    <x:row r="156">
      <x:c r="A156" s="28" t="str">
        <x:f>"G-094"</x:f>
        <x:v>G-094</x:v>
      </x:c>
      <x:c r="B156" s="22" t="str">
        <x:v>CLORIDRATO ESCETAMINA KETAMIN</x:v>
      </x:c>
      <x:c r="C156" s="22" t="str">
        <x:v>MÉDIO</x:v>
      </x:c>
      <x:c r="D156" s="22" t="str">
        <x:v>MANTER separado como variante/SKU</x:v>
      </x:c>
      <x:c r="E156" s="28" t="str">
        <x:f>"CEK0003"</x:f>
        <x:v>CEK0003</x:v>
      </x:c>
      <x:c r="F156" s="22" t="str">
        <x:v>CLORIDRATO DE ESCETAMINA KETAMIN 50MG/ML AP 2ML CX/25 - CRISTÁLIA</x:v>
      </x:c>
      <x:c r="G156" s="22" t="str">
        <x:v>CLORIDRATO ESCETAMINA KETAMIN</x:v>
      </x:c>
      <x:c r="H156" s="22" t="str">
        <x:v>50MG/ML | 50MG | 2ML</x:v>
      </x:c>
      <x:c r="I156" s="22" t="str"/>
      <x:c r="J156" s="22" t="str">
        <x:v>AP | CX/25 | UN</x:v>
      </x:c>
      <x:c r="K156" s="22" t="str">
        <x:v>UNIDADE</x:v>
      </x:c>
      <x:c r="L156" s="22" t="str">
        <x:v>CRISTÁLIA</x:v>
      </x:c>
      <x:c r="M156" s="28" t="str">
        <x:f>"GTIN: 7898404221908"</x:f>
        <x:v>GTIN: 7898404221908</x:v>
      </x:c>
      <x:c r="N156" s="28" t="str">
        <x:f>"30049032"</x:f>
        <x:v>30049032</x:v>
      </x:c>
      <x:c r="O156" s="29" t="n">
        <x:v>20</x:v>
      </x:c>
      <x:c r="P156" s="29" t="n">
        <x:v>0</x:v>
      </x:c>
      <x:c r="Q156" s="28" t="str">
        <x:f>"271 | 272 | 273"</x:f>
        <x:v>271 | 272 | 273</x:v>
      </x:c>
      <x:c r="R156" s="28" t="str">
        <x:f>"CEK0003 | CEK0006 | CEK0005"</x:f>
        <x:v>CEK0003 | CEK0006 | CEK0005</x:v>
      </x:c>
      <x:c r="S156" s="22" t="str">
        <x:v>varios codigos legados consolidados em um produto</x:v>
      </x:c>
      <x:c r="T156" s="22" t="str">
        <x:v>CLORIDRATO ESCETAMINA KETAMIN - 50MG/ML | 50MG | 2ML - UNIDADE - AP | CX/25 | UN - CRISTÁLIA</x:v>
      </x:c>
      <x:c r="U156" s="27" t="str"/>
      <x:c r="V156" s="27" t="str"/>
    </x:row>
    <x:row r="157">
      <x:c r="A157" s="28" t="str">
        <x:f>"G-098"</x:f>
        <x:v>G-098</x:v>
      </x:c>
      <x:c r="B157" s="22" t="str">
        <x:v>CLORIDRATO ONDANSETRONA</x:v>
      </x:c>
      <x:c r="C157" s="22" t="str">
        <x:v>MÉDIO</x:v>
      </x:c>
      <x:c r="D157" s="22" t="str">
        <x:v>MANTER separado como variante/SKU</x:v>
      </x:c>
      <x:c r="E157" s="28" t="str">
        <x:f>"CO40001"</x:f>
        <x:v>CO40001</x:v>
      </x:c>
      <x:c r="F157" s="22" t="str">
        <x:v>CLORIDRATO DE ONDANSETRONA 4MG/2ML AP - UNIÃO QUIMICA</x:v>
      </x:c>
      <x:c r="G157" s="22" t="str">
        <x:v>CLORIDRATO ONDANSETRONA</x:v>
      </x:c>
      <x:c r="H157" s="22" t="str">
        <x:v>4MG/2ML | 4MG | 2ML</x:v>
      </x:c>
      <x:c r="I157" s="22" t="str"/>
      <x:c r="J157" s="22" t="str">
        <x:v>AP | UN</x:v>
      </x:c>
      <x:c r="K157" s="22" t="str">
        <x:v>UNIDADE</x:v>
      </x:c>
      <x:c r="L157" s="22" t="str">
        <x:v>UNIÃO QUIMICA</x:v>
      </x:c>
      <x:c r="M157" s="28" t="str"/>
      <x:c r="N157" s="28" t="str">
        <x:f>"30049069"</x:f>
        <x:v>30049069</x:v>
      </x:c>
      <x:c r="O157" s="29" t="n">
        <x:v>1.08</x:v>
      </x:c>
      <x:c r="P157" s="29" t="n">
        <x:v>0</x:v>
      </x:c>
      <x:c r="Q157" s="28" t="str">
        <x:f>"301"</x:f>
        <x:v>301</x:v>
      </x:c>
      <x:c r="R157" s="28" t="str">
        <x:f>"CO40001"</x:f>
        <x:v>CO40001</x:v>
      </x:c>
      <x:c r="S157" s="22" t="str">
        <x:v>GTIN ausente ou invalido</x:v>
      </x:c>
      <x:c r="T157" s="22" t="str">
        <x:v>CLORIDRATO ONDANSETRONA - 4MG/2ML | 4MG | 2ML - UNIDADE - AP | UN - UNIÃO QUIMICA</x:v>
      </x:c>
      <x:c r="U157" s="27" t="str"/>
      <x:c r="V157" s="27" t="str"/>
    </x:row>
    <x:row r="158">
      <x:c r="A158" s="28" t="str">
        <x:f>"G-098"</x:f>
        <x:v>G-098</x:v>
      </x:c>
      <x:c r="B158" s="22" t="str">
        <x:v>CLORIDRATO ONDANSETRONA</x:v>
      </x:c>
      <x:c r="C158" s="22" t="str">
        <x:v>MÉDIO</x:v>
      </x:c>
      <x:c r="D158" s="22" t="str">
        <x:v>MANTER separado como variante/SKU</x:v>
      </x:c>
      <x:c r="E158" s="28" t="str">
        <x:f>"CON0001"</x:f>
        <x:v>CON0001</x:v>
      </x:c>
      <x:c r="F158" s="22" t="str">
        <x:v>CLORIDRATO DE ONDANSETRONA 4MG/ML 2ML AP CX/50 - HIPOLABOR</x:v>
      </x:c>
      <x:c r="G158" s="22" t="str">
        <x:v>CLORIDRATO ONDANSETRONA</x:v>
      </x:c>
      <x:c r="H158" s="22" t="str">
        <x:v>4MG/ML | 4MG | 2ML</x:v>
      </x:c>
      <x:c r="I158" s="22" t="str"/>
      <x:c r="J158" s="22" t="str">
        <x:v>AP | CX/50 | CX | CONTEUDO50 | FATOR50</x:v>
      </x:c>
      <x:c r="K158" s="22" t="str">
        <x:v>CAIXA</x:v>
      </x:c>
      <x:c r="L158" s="22" t="str">
        <x:v>HIPOLABOR</x:v>
      </x:c>
      <x:c r="M158" s="28" t="str">
        <x:f>"GTIN: 7898470684164"</x:f>
        <x:v>GTIN: 7898470684164</x:v>
      </x:c>
      <x:c r="N158" s="28" t="str">
        <x:f>"30049069"</x:f>
        <x:v>30049069</x:v>
      </x:c>
      <x:c r="O158" s="29" t="n">
        <x:v>1.08</x:v>
      </x:c>
      <x:c r="P158" s="29" t="n">
        <x:v>0</x:v>
      </x:c>
      <x:c r="Q158" s="28" t="str">
        <x:f>"302"</x:f>
        <x:v>302</x:v>
      </x:c>
      <x:c r="R158" s="28" t="str">
        <x:f>"CON0001"</x:f>
        <x:v>CON0001</x:v>
      </x:c>
      <x:c r="S158" s="22" t="str">
        <x:v>GTIN repetido em produtos distintos</x:v>
      </x:c>
      <x:c r="T158" s="22" t="str">
        <x:v>CLORIDRATO ONDANSETRONA - 4MG/ML | 4MG | 2ML - CAIXA - AP | CX/50 | CX | CONTEUDO50 | FATOR50 - HIPOLABOR</x:v>
      </x:c>
      <x:c r="U158" s="27" t="str"/>
      <x:c r="V158" s="27" t="str"/>
    </x:row>
    <x:row r="159">
      <x:c r="A159" s="28" t="str">
        <x:f>"G-110"</x:f>
        <x:v>G-110</x:v>
      </x:c>
      <x:c r="B159" s="22" t="str">
        <x:v>COLETOR URINA SIST FECHADO P COLETA ESTERIL</x:v>
      </x:c>
      <x:c r="C159" s="22" t="str">
        <x:v>MÉDIO</x:v>
      </x:c>
      <x:c r="D159" s="22" t="str">
        <x:v>MANTER separado como variante/SKU</x:v>
      </x:c>
      <x:c r="E159" s="28" t="str">
        <x:f>"CUS0004"</x:f>
        <x:v>CUS0004</x:v>
      </x:c>
      <x:c r="F159" s="22" t="str">
        <x:v>COLETOR DE URINA SIST. FECHADO 2000ML BOLSA C/P COLETA ESTERIL - CX/90 - LABOR IMPORT</x:v>
      </x:c>
      <x:c r="G159" s="22" t="str">
        <x:v>COLETOR URINA SIST FECHADO P COLETA ESTERIL</x:v>
      </x:c>
      <x:c r="H159" s="22" t="str">
        <x:v>2000ML</x:v>
      </x:c>
      <x:c r="I159" s="22" t="str"/>
      <x:c r="J159" s="22" t="str">
        <x:v>BOLSA | CX/90 | CX | CONTEUDO90 | FATOR90</x:v>
      </x:c>
      <x:c r="K159" s="22" t="str">
        <x:v>CAIXA</x:v>
      </x:c>
      <x:c r="L159" s="22" t="str">
        <x:v>LABOR IMPORT</x:v>
      </x:c>
      <x:c r="M159" s="28" t="str">
        <x:f>"GTIN: 7899780174079"</x:f>
        <x:v>GTIN: 7899780174079</x:v>
      </x:c>
      <x:c r="N159" s="28" t="str">
        <x:f>"39269030"</x:f>
        <x:v>39269030</x:v>
      </x:c>
      <x:c r="O159" s="29" t="n">
        <x:v>2.75</x:v>
      </x:c>
      <x:c r="P159" s="29" t="n">
        <x:v>6.9</x:v>
      </x:c>
      <x:c r="Q159" s="28" t="str">
        <x:f>"335"</x:f>
        <x:v>335</x:v>
      </x:c>
      <x:c r="R159" s="28" t="str">
        <x:f>"CUS0004"</x:f>
        <x:v>CUS0004</x:v>
      </x:c>
      <x:c r="S159" s="22" t="str"/>
      <x:c r="T159" s="22" t="str">
        <x:v>COLETOR URINA SIST FECHADO P COLETA ESTERIL - 2000ML - CAIXA - BOLSA | CX/90 | CX | CONTEUDO90 | FATOR90 - LABOR IMPORT</x:v>
      </x:c>
      <x:c r="U159" s="27" t="str"/>
      <x:c r="V159" s="27" t="str"/>
    </x:row>
    <x:row r="160">
      <x:c r="A160" s="28" t="str">
        <x:f>"G-110"</x:f>
        <x:v>G-110</x:v>
      </x:c>
      <x:c r="B160" s="22" t="str">
        <x:v>COLETOR URINA SIST FECHADO P COLETA ESTERIL</x:v>
      </x:c>
      <x:c r="C160" s="22" t="str">
        <x:v>MÉDIO</x:v>
      </x:c>
      <x:c r="D160" s="22" t="str">
        <x:v>MANTER separado como variante/SKU</x:v>
      </x:c>
      <x:c r="E160" s="28" t="str">
        <x:f>"CUS0005"</x:f>
        <x:v>CUS0005</x:v>
      </x:c>
      <x:c r="F160" s="22" t="str">
        <x:v>COLETOR DE URINA SIST. FECHADO 2000ML BOLSA C/P COLETA ESTERIL - MEDIX - CX/100</x:v>
      </x:c>
      <x:c r="G160" s="22" t="str">
        <x:v>COLETOR URINA SIST FECHADO P COLETA ESTERIL</x:v>
      </x:c>
      <x:c r="H160" s="22" t="str">
        <x:v>2000ML</x:v>
      </x:c>
      <x:c r="I160" s="22" t="str"/>
      <x:c r="J160" s="22" t="str">
        <x:v>BOLSA | CX/100 | CX | CONTEUDO100 | FATOR100</x:v>
      </x:c>
      <x:c r="K160" s="22" t="str">
        <x:v>CAIXA</x:v>
      </x:c>
      <x:c r="L160" s="22" t="str">
        <x:v>MEDIX</x:v>
      </x:c>
      <x:c r="M160" s="28" t="str">
        <x:f>"GTIN: 7898563792165"</x:f>
        <x:v>GTIN: 7898563792165</x:v>
      </x:c>
      <x:c r="N160" s="28" t="str">
        <x:f>"39269030"</x:f>
        <x:v>39269030</x:v>
      </x:c>
      <x:c r="O160" s="29" t="n">
        <x:v>2.75</x:v>
      </x:c>
      <x:c r="P160" s="29" t="n">
        <x:v>4.15</x:v>
      </x:c>
      <x:c r="Q160" s="28" t="str">
        <x:f>"336"</x:f>
        <x:v>336</x:v>
      </x:c>
      <x:c r="R160" s="28" t="str">
        <x:f>"CUS0005"</x:f>
        <x:v>CUS0005</x:v>
      </x:c>
      <x:c r="S160" s="22" t="str"/>
      <x:c r="T160" s="22" t="str">
        <x:v>COLETOR URINA SIST FECHADO P COLETA ESTERIL - 2000ML - CAIXA - BOLSA | CX/100 | CX | CONTEUDO100 | FATOR100 - MEDIX</x:v>
      </x:c>
      <x:c r="U160" s="27" t="str"/>
      <x:c r="V160" s="27" t="str"/>
    </x:row>
    <x:row r="161">
      <x:c r="A161" s="28" t="str">
        <x:f>"G-113"</x:f>
        <x:v>G-113</x:v>
      </x:c>
      <x:c r="B161" s="22" t="str">
        <x:v>COMPRESSAS GAZE ESTERIL LIVIA</x:v>
      </x:c>
      <x:c r="C161" s="22" t="str">
        <x:v>MÉDIO</x:v>
      </x:c>
      <x:c r="D161" s="22" t="str">
        <x:v>MANTER separado como variante/SKU</x:v>
      </x:c>
      <x:c r="E161" s="28" t="str">
        <x:f>"CG70003"</x:f>
        <x:v>CG70003</x:v>
      </x:c>
      <x:c r="F161" s="22" t="str">
        <x:v>COMPRESSAS DE GAZE 7,5 X 7,5 11 FIOS ESTERIL LIVIA - PCT/10 - AMED</x:v>
      </x:c>
      <x:c r="G161" s="22" t="str">
        <x:v>COMPRESSAS GAZE ESTERIL LIVIA</x:v>
      </x:c>
      <x:c r="H161" s="22" t="str"/>
      <x:c r="I161" s="22" t="str">
        <x:v>7,5X7,5 | 11FIOS</x:v>
      </x:c>
      <x:c r="J161" s="22" t="str">
        <x:v>PCT/10 | PCT | CONTEUDO10 | FATOR10</x:v>
      </x:c>
      <x:c r="K161" s="22" t="str">
        <x:v>OUTRA</x:v>
      </x:c>
      <x:c r="L161" s="22" t="str">
        <x:v>AMED</x:v>
      </x:c>
      <x:c r="M161" s="28" t="str"/>
      <x:c r="N161" s="28" t="str">
        <x:f>"30059090"</x:f>
        <x:v>30059090</x:v>
      </x:c>
      <x:c r="O161" s="29" t="n">
        <x:v>0.55</x:v>
      </x:c>
      <x:c r="P161" s="29" t="n">
        <x:v>0.82</x:v>
      </x:c>
      <x:c r="Q161" s="28" t="str">
        <x:f>"340"</x:f>
        <x:v>340</x:v>
      </x:c>
      <x:c r="R161" s="28" t="str">
        <x:f>"CG70003"</x:f>
        <x:v>CG70003</x:v>
      </x:c>
      <x:c r="S161" s="22" t="str">
        <x:v>GTIN ausente ou invalido</x:v>
      </x:c>
      <x:c r="T161" s="22" t="str">
        <x:v>COMPRESSAS GAZE ESTERIL LIVIA - 7,5X7,5 | 11FIOS - OUTRA - PCT/10 | PCT | CONTEUDO10 | FATOR10 - AMED</x:v>
      </x:c>
      <x:c r="U161" s="27" t="str"/>
      <x:c r="V161" s="27" t="str"/>
    </x:row>
    <x:row r="162">
      <x:c r="A162" s="28" t="str">
        <x:f>"G-113"</x:f>
        <x:v>G-113</x:v>
      </x:c>
      <x:c r="B162" s="22" t="str">
        <x:v>COMPRESSAS GAZE ESTERIL LIVIA</x:v>
      </x:c>
      <x:c r="C162" s="22" t="str">
        <x:v>MÉDIO</x:v>
      </x:c>
      <x:c r="D162" s="22" t="str">
        <x:v>MANTER separado como variante/SKU</x:v>
      </x:c>
      <x:c r="E162" s="28" t="str">
        <x:f>"CG70005"</x:f>
        <x:v>CG70005</x:v>
      </x:c>
      <x:c r="F162" s="22" t="str">
        <x:v>COMPRESSAS DE GAZE 7,5 X 7,5 13 FIOS ESTERIL LIVIA - PCT/10 - AMED</x:v>
      </x:c>
      <x:c r="G162" s="22" t="str">
        <x:v>COMPRESSAS GAZE ESTERIL LIVIA</x:v>
      </x:c>
      <x:c r="H162" s="22" t="str"/>
      <x:c r="I162" s="22" t="str">
        <x:v>7,5X7,5 | 13FIOS</x:v>
      </x:c>
      <x:c r="J162" s="22" t="str">
        <x:v>PCT/10 | PCT | CONTEUDO10 | FATOR10</x:v>
      </x:c>
      <x:c r="K162" s="22" t="str">
        <x:v>OUTRA</x:v>
      </x:c>
      <x:c r="L162" s="22" t="str">
        <x:v>AMED</x:v>
      </x:c>
      <x:c r="M162" s="28" t="str">
        <x:f>"GTIN: 7898172869883"</x:f>
        <x:v>GTIN: 7898172869883</x:v>
      </x:c>
      <x:c r="N162" s="28" t="str">
        <x:f>"30059090"</x:f>
        <x:v>30059090</x:v>
      </x:c>
      <x:c r="O162" s="29" t="n">
        <x:v>0.55</x:v>
      </x:c>
      <x:c r="P162" s="29" t="n">
        <x:v>0.82</x:v>
      </x:c>
      <x:c r="Q162" s="28" t="str">
        <x:f>"344"</x:f>
        <x:v>344</x:v>
      </x:c>
      <x:c r="R162" s="28" t="str">
        <x:f>"CG70005"</x:f>
        <x:v>CG70005</x:v>
      </x:c>
      <x:c r="S162" s="22" t="str"/>
      <x:c r="T162" s="22" t="str">
        <x:v>COMPRESSAS GAZE ESTERIL LIVIA - 7,5X7,5 | 13FIOS - OUTRA - PCT/10 | PCT | CONTEUDO10 | FATOR10 - AMED</x:v>
      </x:c>
      <x:c r="U162" s="27" t="str"/>
      <x:c r="V162" s="27" t="str"/>
    </x:row>
    <x:row r="163">
      <x:c r="A163" s="28" t="str">
        <x:f>"G-124"</x:f>
        <x:v>G-124</x:v>
      </x:c>
      <x:c r="B163" s="22" t="str">
        <x:v>CURATIVO SURGICEL X</x:v>
      </x:c>
      <x:c r="C163" s="22" t="str">
        <x:v>MÉDIO</x:v>
      </x:c>
      <x:c r="D163" s="22" t="str">
        <x:v>MANTER separado como variante/SKU</x:v>
      </x:c>
      <x:c r="E163" s="28" t="str">
        <x:f>"CS(0038"</x:f>
        <x:v>CS(0038</x:v>
      </x:c>
      <x:c r="F163" s="22" t="str">
        <x:v>CURATIVO SURGICEL (1952) 10.2CM X 20.3CM 4X8 ETHICON</x:v>
      </x:c>
      <x:c r="G163" s="22" t="str">
        <x:v>CURATIVO SURGICEL X</x:v>
      </x:c>
      <x:c r="H163" s="22" t="str"/>
      <x:c r="I163" s="22" t="str">
        <x:v>4X8</x:v>
      </x:c>
      <x:c r="J163" s="22" t="str">
        <x:v>ENV | CONTEUDO1</x:v>
      </x:c>
      <x:c r="K163" s="22" t="str">
        <x:v>OUTRA</x:v>
      </x:c>
      <x:c r="L163" s="22" t="str">
        <x:v>ETHICON</x:v>
      </x:c>
      <x:c r="M163" s="28" t="str"/>
      <x:c r="N163" s="28" t="str">
        <x:f>"30051030"</x:f>
        <x:v>30051030</x:v>
      </x:c>
      <x:c r="O163" s="29" t="n">
        <x:v>2</x:v>
      </x:c>
      <x:c r="P163" s="29" t="n">
        <x:v>55</x:v>
      </x:c>
      <x:c r="Q163" s="28" t="str">
        <x:f>"369 | 370 | 371 | 372"</x:f>
        <x:v>369 | 370 | 371 | 372</x:v>
      </x:c>
      <x:c r="R163" s="28" t="str">
        <x:f>"CS(0030 | CS(0035 | CS(0038 | CS(0036"</x:f>
        <x:v>CS(0030 | CS(0035 | CS(0038 | CS(0036</x:v>
      </x:c>
      <x:c r="S163" s="22" t="str">
        <x:v>varios codigos legados consolidados em um produto; mais de um GTIN no mesmo produto</x:v>
      </x:c>
      <x:c r="T163" s="22" t="str">
        <x:v>CURATIVO SURGICEL X - 4X8 - OUTRA - ENV | CONTEUDO1 - ETHICON</x:v>
      </x:c>
      <x:c r="U163" s="27" t="str"/>
      <x:c r="V163" s="27" t="str"/>
    </x:row>
    <x:row r="164">
      <x:c r="A164" s="28" t="str">
        <x:f>"G-124"</x:f>
        <x:v>G-124</x:v>
      </x:c>
      <x:c r="B164" s="22" t="str">
        <x:v>CURATIVO SURGICEL X</x:v>
      </x:c>
      <x:c r="C164" s="22" t="str">
        <x:v>MÉDIO</x:v>
      </x:c>
      <x:c r="D164" s="22" t="str">
        <x:v>MANTER separado como variante/SKU</x:v>
      </x:c>
      <x:c r="E164" s="28" t="str">
        <x:f>"CS(0037"</x:f>
        <x:v>CS(0037</x:v>
      </x:c>
      <x:c r="F164" s="22" t="str">
        <x:v>CURATIVO SURGICEL (1953) 5.1CM X 7.6CM 2X3 ETHICON</x:v>
      </x:c>
      <x:c r="G164" s="22" t="str">
        <x:v>CURATIVO SURGICEL X</x:v>
      </x:c>
      <x:c r="H164" s="22" t="str"/>
      <x:c r="I164" s="22" t="str">
        <x:v>2X3</x:v>
      </x:c>
      <x:c r="J164" s="22" t="str">
        <x:v>ENV | CONTEUDO1</x:v>
      </x:c>
      <x:c r="K164" s="22" t="str">
        <x:v>OUTRA</x:v>
      </x:c>
      <x:c r="L164" s="22" t="str">
        <x:v>ETHICON</x:v>
      </x:c>
      <x:c r="M164" s="28" t="str">
        <x:f>"GTIN: 10705031005204"</x:f>
        <x:v>GTIN: 10705031005204</x:v>
      </x:c>
      <x:c r="N164" s="28" t="str">
        <x:f>"30051030"</x:f>
        <x:v>30051030</x:v>
      </x:c>
      <x:c r="O164" s="29" t="n">
        <x:v>2</x:v>
      </x:c>
      <x:c r="P164" s="29" t="n">
        <x:v>55</x:v>
      </x:c>
      <x:c r="Q164" s="28" t="str">
        <x:f>"376"</x:f>
        <x:v>376</x:v>
      </x:c>
      <x:c r="R164" s="28" t="str">
        <x:f>"CS(0037"</x:f>
        <x:v>CS(0037</x:v>
      </x:c>
      <x:c r="S164" s="22" t="str">
        <x:v>GTIN repetido em produtos distintos</x:v>
      </x:c>
      <x:c r="T164" s="22" t="str">
        <x:v>CURATIVO SURGICEL X - 2X3 - OUTRA - ENV | CONTEUDO1 - ETHICON</x:v>
      </x:c>
      <x:c r="U164" s="27" t="str"/>
      <x:c r="V164" s="27" t="str"/>
    </x:row>
    <x:row r="165">
      <x:c r="A165" s="28" t="str">
        <x:f>"G-130"</x:f>
        <x:v>G-130</x:v>
      </x:c>
      <x:c r="B165" s="22" t="str">
        <x:v>DEXAMETASONA</x:v>
      </x:c>
      <x:c r="C165" s="22" t="str">
        <x:v>MÉDIO</x:v>
      </x:c>
      <x:c r="D165" s="22" t="str">
        <x:v>MANTER separado como variante/SKU</x:v>
      </x:c>
      <x:c r="E165" s="28" t="str">
        <x:f>"D(D0003"</x:f>
        <x:v>D(D0003</x:v>
      </x:c>
      <x:c r="F165" s="22" t="str">
        <x:v>DEXAMETASONA (FOSF. DISSÓDICO) 4MG/ML 2,5ML AP - FARMACE - CX/100</x:v>
      </x:c>
      <x:c r="G165" s="22" t="str">
        <x:v>DEXAMETASONA</x:v>
      </x:c>
      <x:c r="H165" s="22" t="str">
        <x:v>4MG/ML | 4MG | 2,5ML</x:v>
      </x:c>
      <x:c r="I165" s="22" t="str"/>
      <x:c r="J165" s="22" t="str">
        <x:v>AP | CX/100 | UN</x:v>
      </x:c>
      <x:c r="K165" s="22" t="str">
        <x:v>UNIDADE</x:v>
      </x:c>
      <x:c r="L165" s="22" t="str">
        <x:v>FARMACE</x:v>
      </x:c>
      <x:c r="M165" s="28" t="str"/>
      <x:c r="N165" s="28" t="str">
        <x:f>"30043290"</x:f>
        <x:v>30043290</x:v>
      </x:c>
      <x:c r="O165" s="29" t="n">
        <x:v>0.95</x:v>
      </x:c>
      <x:c r="P165" s="29" t="n">
        <x:v>0</x:v>
      </x:c>
      <x:c r="Q165" s="28" t="str">
        <x:f>"381 | 382"</x:f>
        <x:v>381 | 382</x:v>
      </x:c>
      <x:c r="R165" s="28" t="str">
        <x:f>"D(D0003 | D(D0001"</x:f>
        <x:v>D(D0003 | D(D0001</x:v>
      </x:c>
      <x:c r="S165" s="22" t="str">
        <x:v>varios codigos legados consolidados em um produto; GTIN ausente ou invalido</x:v>
      </x:c>
      <x:c r="T165" s="22" t="str">
        <x:v>DEXAMETASONA - 4MG/ML | 4MG | 2,5ML - UNIDADE - AP | CX/100 | UN - FARMACE</x:v>
      </x:c>
      <x:c r="U165" s="27" t="str"/>
      <x:c r="V165" s="27" t="str"/>
    </x:row>
    <x:row r="166">
      <x:c r="A166" s="28" t="str">
        <x:f>"G-130"</x:f>
        <x:v>G-130</x:v>
      </x:c>
      <x:c r="B166" s="22" t="str">
        <x:v>DEXAMETASONA</x:v>
      </x:c>
      <x:c r="C166" s="22" t="str">
        <x:v>MÉDIO</x:v>
      </x:c>
      <x:c r="D166" s="22" t="str">
        <x:v>MANTER separado como variante/SKU</x:v>
      </x:c>
      <x:c r="E166" s="28" t="str">
        <x:f>"D(D0002"</x:f>
        <x:v>D(D0002</x:v>
      </x:c>
      <x:c r="F166" s="22" t="str">
        <x:v>DEXAMETASONA (FOSF. DISSÓDICO) 4MG/ML 2,5ML AP - HYPOFARMA - CX/50</x:v>
      </x:c>
      <x:c r="G166" s="22" t="str">
        <x:v>DEXAMETASONA</x:v>
      </x:c>
      <x:c r="H166" s="22" t="str">
        <x:v>4MG/ML | 4MG | 2,5ML</x:v>
      </x:c>
      <x:c r="I166" s="22" t="str"/>
      <x:c r="J166" s="22" t="str">
        <x:v>AP | CX/50 | UN</x:v>
      </x:c>
      <x:c r="K166" s="22" t="str">
        <x:v>UNIDADE</x:v>
      </x:c>
      <x:c r="L166" s="22" t="str">
        <x:v>HYPOFARMA</x:v>
      </x:c>
      <x:c r="M166" s="28" t="str"/>
      <x:c r="N166" s="28" t="str">
        <x:f>"30043290"</x:f>
        <x:v>30043290</x:v>
      </x:c>
      <x:c r="O166" s="29" t="n">
        <x:v>0.95</x:v>
      </x:c>
      <x:c r="P166" s="29" t="n">
        <x:v>0</x:v>
      </x:c>
      <x:c r="Q166" s="28" t="str">
        <x:f>"383"</x:f>
        <x:v>383</x:v>
      </x:c>
      <x:c r="R166" s="28" t="str">
        <x:f>"D(D0002"</x:f>
        <x:v>D(D0002</x:v>
      </x:c>
      <x:c r="S166" s="22" t="str">
        <x:v>GTIN ausente ou invalido</x:v>
      </x:c>
      <x:c r="T166" s="22" t="str">
        <x:v>DEXAMETASONA - 4MG/ML | 4MG | 2,5ML - UNIDADE - AP | CX/50 | UN - HYPOFARMA</x:v>
      </x:c>
      <x:c r="U166" s="27" t="str"/>
      <x:c r="V166" s="27" t="str"/>
    </x:row>
    <x:row r="167">
      <x:c r="A167" s="28" t="str">
        <x:f>"G-163"</x:f>
        <x:v>G-163</x:v>
      </x:c>
      <x:c r="B167" s="22" t="str">
        <x:v>FIO SUTURA NYLON AG</x:v>
      </x:c>
      <x:c r="C167" s="22" t="str">
        <x:v>MÉDIO</x:v>
      </x:c>
      <x:c r="D167" s="22" t="str">
        <x:v>MANTER separado como variante/SKU</x:v>
      </x:c>
      <x:c r="E167" s="28" t="str">
        <x:f>"FSN0007"</x:f>
        <x:v>FSN0007</x:v>
      </x:c>
      <x:c r="F167" s="22" t="str">
        <x:v>FIO DE SUTURA DE NYLON 3.0 C/AG 30MM 3/8 - CX/24 - TECHNOFIO</x:v>
      </x:c>
      <x:c r="G167" s="22" t="str">
        <x:v>FIO SUTURA NYLON AG</x:v>
      </x:c>
      <x:c r="H167" s="22" t="str"/>
      <x:c r="I167" s="22" t="str"/>
      <x:c r="J167" s="22" t="str">
        <x:v>CX/24 | UND</x:v>
      </x:c>
      <x:c r="K167" s="22" t="str">
        <x:v>UNIDADE</x:v>
      </x:c>
      <x:c r="L167" s="22" t="str">
        <x:v>TECHNOFIO</x:v>
      </x:c>
      <x:c r="M167" s="28" t="str">
        <x:f>"GTIN: 7898483782260"</x:f>
        <x:v>GTIN: 7898483782260</x:v>
      </x:c>
      <x:c r="N167" s="28" t="str">
        <x:f>"30061090"</x:f>
        <x:v>30061090</x:v>
      </x:c>
      <x:c r="O167" s="29" t="n">
        <x:v>1.35</x:v>
      </x:c>
      <x:c r="P167" s="29" t="n">
        <x:v>2.2</x:v>
      </x:c>
      <x:c r="Q167" s="28" t="str">
        <x:f>"461"</x:f>
        <x:v>461</x:v>
      </x:c>
      <x:c r="R167" s="28" t="str">
        <x:f>"FSN0007"</x:f>
        <x:v>FSN0007</x:v>
      </x:c>
      <x:c r="S167" s="22" t="str"/>
      <x:c r="T167" s="22" t="str">
        <x:v>FIO SUTURA NYLON AG - UNIDADE - CX/24 | UND - TECHNOFIO</x:v>
      </x:c>
      <x:c r="U167" s="27" t="str"/>
      <x:c r="V167" s="27" t="str"/>
    </x:row>
    <x:row r="168">
      <x:c r="A168" s="28" t="str">
        <x:f>"G-163"</x:f>
        <x:v>G-163</x:v>
      </x:c>
      <x:c r="B168" s="22" t="str">
        <x:v>FIO SUTURA NYLON AG</x:v>
      </x:c>
      <x:c r="C168" s="22" t="str">
        <x:v>MÉDIO</x:v>
      </x:c>
      <x:c r="D168" s="22" t="str">
        <x:v>MANTER separado como variante/SKU</x:v>
      </x:c>
      <x:c r="E168" s="28" t="str">
        <x:f>"FSN0009"</x:f>
        <x:v>FSN0009</x:v>
      </x:c>
      <x:c r="F168" s="22" t="str">
        <x:v>FIO DE SUTURA DE NYLON 5.0 C/AG 20MM 3/8 45CM - CX/24 - TECHNOFIO</x:v>
      </x:c>
      <x:c r="G168" s="22" t="str">
        <x:v>FIO SUTURA NYLON AG</x:v>
      </x:c>
      <x:c r="H168" s="22" t="str"/>
      <x:c r="I168" s="22" t="str"/>
      <x:c r="J168" s="22" t="str">
        <x:v>CX/24 | CX | CONTEUDO24 | FATOR24</x:v>
      </x:c>
      <x:c r="K168" s="22" t="str">
        <x:v>CAIXA</x:v>
      </x:c>
      <x:c r="L168" s="22" t="str">
        <x:v>TECHNOFIO</x:v>
      </x:c>
      <x:c r="M168" s="28" t="str">
        <x:f>"GTIN: 7898157728525"</x:f>
        <x:v>GTIN: 7898157728525</x:v>
      </x:c>
      <x:c r="N168" s="28" t="str">
        <x:f>"30061090"</x:f>
        <x:v>30061090</x:v>
      </x:c>
      <x:c r="O168" s="29" t="n">
        <x:v>1.35</x:v>
      </x:c>
      <x:c r="P168" s="29" t="n">
        <x:v>2.2</x:v>
      </x:c>
      <x:c r="Q168" s="28" t="str">
        <x:f>"462"</x:f>
        <x:v>462</x:v>
      </x:c>
      <x:c r="R168" s="28" t="str">
        <x:f>"FSN0009"</x:f>
        <x:v>FSN0009</x:v>
      </x:c>
      <x:c r="S168" s="22" t="str"/>
      <x:c r="T168" s="22" t="str">
        <x:v>FIO SUTURA NYLON AG - CAIXA - CX/24 | CX | CONTEUDO24 | FATOR24 - TECHNOFIO</x:v>
      </x:c>
      <x:c r="U168" s="27" t="str"/>
      <x:c r="V168" s="27" t="str"/>
    </x:row>
    <x:row r="169">
      <x:c r="A169" s="28" t="str">
        <x:f>"G-223"</x:f>
        <x:v>G-223</x:v>
      </x:c>
      <x:c r="B169" s="22" t="str">
        <x:v>METILPREDILISONA</x:v>
      </x:c>
      <x:c r="C169" s="22" t="str">
        <x:v>MÉDIO</x:v>
      </x:c>
      <x:c r="D169" s="22" t="str">
        <x:v>MANTER separado como variante/SKU</x:v>
      </x:c>
      <x:c r="E169" s="28" t="str">
        <x:f>"M1B0007"</x:f>
        <x:v>M1B0007</x:v>
      </x:c>
      <x:c r="F169" s="22" t="str">
        <x:v>METILPREDILISONA 125MG - CX/25 - BLAU</x:v>
      </x:c>
      <x:c r="G169" s="22" t="str">
        <x:v>METILPREDILISONA</x:v>
      </x:c>
      <x:c r="H169" s="22" t="str">
        <x:v>125MG</x:v>
      </x:c>
      <x:c r="I169" s="22" t="str"/>
      <x:c r="J169" s="22" t="str">
        <x:v>CX/25 | CX | CONTEUDO25 | FATOR25</x:v>
      </x:c>
      <x:c r="K169" s="22" t="str">
        <x:v>CAIXA</x:v>
      </x:c>
      <x:c r="L169" s="22" t="str">
        <x:v>BLAU</x:v>
      </x:c>
      <x:c r="M169" s="28" t="str">
        <x:f>"GTIN: 7896014689118"</x:f>
        <x:v>GTIN: 7896014689118</x:v>
      </x:c>
      <x:c r="N169" s="28" t="str">
        <x:f>"30043210"</x:f>
        <x:v>30043210</x:v>
      </x:c>
      <x:c r="O169" s="29" t="n">
        <x:v>3</x:v>
      </x:c>
      <x:c r="P169" s="29" t="n">
        <x:v>14.55</x:v>
      </x:c>
      <x:c r="Q169" s="28" t="str">
        <x:f>"601"</x:f>
        <x:v>601</x:v>
      </x:c>
      <x:c r="R169" s="28" t="str">
        <x:f>"M1B0007"</x:f>
        <x:v>M1B0007</x:v>
      </x:c>
      <x:c r="S169" s="22" t="str"/>
      <x:c r="T169" s="22" t="str">
        <x:v>METILPREDILISONA - 125MG - CAIXA - CX/25 | CX | CONTEUDO25 | FATOR25 - BLAU</x:v>
      </x:c>
      <x:c r="U169" s="27" t="str"/>
      <x:c r="V169" s="27" t="str"/>
    </x:row>
    <x:row r="170">
      <x:c r="A170" s="28" t="str">
        <x:f>"G-223"</x:f>
        <x:v>G-223</x:v>
      </x:c>
      <x:c r="B170" s="22" t="str">
        <x:v>METILPREDILISONA</x:v>
      </x:c>
      <x:c r="C170" s="22" t="str">
        <x:v>MÉDIO</x:v>
      </x:c>
      <x:c r="D170" s="22" t="str">
        <x:v>MANTER separado como variante/SKU</x:v>
      </x:c>
      <x:c r="E170" s="28" t="str">
        <x:f>"M1B0008"</x:f>
        <x:v>M1B0008</x:v>
      </x:c>
      <x:c r="F170" s="22" t="str">
        <x:v>METILPREDILISONA 125MG BLAU CX/25</x:v>
      </x:c>
      <x:c r="G170" s="22" t="str">
        <x:v>METILPREDILISONA</x:v>
      </x:c>
      <x:c r="H170" s="22" t="str">
        <x:v>125MG</x:v>
      </x:c>
      <x:c r="I170" s="22" t="str"/>
      <x:c r="J170" s="22" t="str">
        <x:v>CX/25 | UND</x:v>
      </x:c>
      <x:c r="K170" s="22" t="str">
        <x:v>UNIDADE</x:v>
      </x:c>
      <x:c r="L170" s="22" t="str">
        <x:v>BLAU</x:v>
      </x:c>
      <x:c r="M170" s="28" t="str">
        <x:f>"GTIN: 07896014689118"</x:f>
        <x:v>GTIN: 07896014689118</x:v>
      </x:c>
      <x:c r="N170" s="28" t="str">
        <x:f>"30043210"</x:f>
        <x:v>30043210</x:v>
      </x:c>
      <x:c r="O170" s="29" t="n">
        <x:v>3</x:v>
      </x:c>
      <x:c r="P170" s="29" t="n">
        <x:v>14.55</x:v>
      </x:c>
      <x:c r="Q170" s="28" t="str">
        <x:f>"602"</x:f>
        <x:v>602</x:v>
      </x:c>
      <x:c r="R170" s="28" t="str">
        <x:f>"M1B0008"</x:f>
        <x:v>M1B0008</x:v>
      </x:c>
      <x:c r="S170" s="22" t="str"/>
      <x:c r="T170" s="22" t="str">
        <x:v>METILPREDILISONA - 125MG - UNIDADE - CX/25 | UND - BLAU</x:v>
      </x:c>
      <x:c r="U170" s="27" t="str"/>
      <x:c r="V170" s="27" t="str"/>
    </x:row>
    <x:row r="171">
      <x:c r="A171" s="28" t="str">
        <x:f>"G-232"</x:f>
        <x:v>G-232</x:v>
      </x:c>
      <x:c r="B171" s="22" t="str">
        <x:v>NITROGLICERINA</x:v>
      </x:c>
      <x:c r="C171" s="22" t="str">
        <x:v>MÉDIO</x:v>
      </x:c>
      <x:c r="D171" s="22" t="str">
        <x:v>MANTER separado como variante/SKU</x:v>
      </x:c>
      <x:c r="E171" s="28" t="str">
        <x:f>"N510002"</x:f>
        <x:v>N510002</x:v>
      </x:c>
      <x:c r="F171" s="22" t="str">
        <x:v>NITROGLICERINA 5MG/ML 10ML - CX/10 - CRISTALIA (TRIDIL)</x:v>
      </x:c>
      <x:c r="G171" s="22" t="str">
        <x:v>NITROGLICERINA</x:v>
      </x:c>
      <x:c r="H171" s="22" t="str">
        <x:v>5MG/ML | 5MG | 10ML</x:v>
      </x:c>
      <x:c r="I171" s="22" t="str"/>
      <x:c r="J171" s="22" t="str">
        <x:v>CX/10 | CX | CONTEUDO10 | FATOR10</x:v>
      </x:c>
      <x:c r="K171" s="22" t="str">
        <x:v>CAIXA</x:v>
      </x:c>
      <x:c r="L171" s="22" t="str">
        <x:v>CRISTALIA</x:v>
      </x:c>
      <x:c r="M171" s="28" t="str"/>
      <x:c r="N171" s="28" t="str">
        <x:f>"30049099"</x:f>
        <x:v>30049099</x:v>
      </x:c>
      <x:c r="O171" s="29" t="n">
        <x:v>45.6</x:v>
      </x:c>
      <x:c r="P171" s="29" t="n">
        <x:v>39.9</x:v>
      </x:c>
      <x:c r="Q171" s="28" t="str">
        <x:f>"618 | 619"</x:f>
        <x:v>618 | 619</x:v>
      </x:c>
      <x:c r="R171" s="28" t="str">
        <x:f>"N510002 | T5-0006"</x:f>
        <x:v>N510002 | T5-0006</x:v>
      </x:c>
      <x:c r="S171" s="22" t="str">
        <x:v>varios codigos legados consolidados em um produto; GTIN ausente ou invalido</x:v>
      </x:c>
      <x:c r="T171" s="22" t="str">
        <x:v>NITROGLICERINA - 5MG/ML | 5MG | 10ML - CAIXA - CX/10 | CX | CONTEUDO10 | FATOR10 - CRISTALIA</x:v>
      </x:c>
      <x:c r="U171" s="27" t="str"/>
      <x:c r="V171" s="27" t="str"/>
    </x:row>
    <x:row r="172">
      <x:c r="A172" s="28" t="str">
        <x:f>"G-232"</x:f>
        <x:v>G-232</x:v>
      </x:c>
      <x:c r="B172" s="22" t="str">
        <x:v>NITROGLICERINA</x:v>
      </x:c>
      <x:c r="C172" s="22" t="str">
        <x:v>MÉDIO</x:v>
      </x:c>
      <x:c r="D172" s="22" t="str">
        <x:v>MANTER separado como variante/SKU</x:v>
      </x:c>
      <x:c r="E172" s="28" t="str">
        <x:f>"N550003"</x:f>
        <x:v>N550003</x:v>
      </x:c>
      <x:c r="F172" s="22" t="str">
        <x:v>NITROGLICERINA 5MG/ML 5ML - CX/10 - CRISTALIA (TRIDIL)</x:v>
      </x:c>
      <x:c r="G172" s="22" t="str">
        <x:v>NITROGLICERINA</x:v>
      </x:c>
      <x:c r="H172" s="22" t="str">
        <x:v>5MG/ML | 5MG | 5ML</x:v>
      </x:c>
      <x:c r="I172" s="22" t="str"/>
      <x:c r="J172" s="22" t="str">
        <x:v>CX/10 | CX | CONTEUDO10 | FATOR10</x:v>
      </x:c>
      <x:c r="K172" s="22" t="str">
        <x:v>CAIXA</x:v>
      </x:c>
      <x:c r="L172" s="22" t="str">
        <x:v>CRISTALIA</x:v>
      </x:c>
      <x:c r="M172" s="28" t="str">
        <x:f>"GTIN: 7896676415308"</x:f>
        <x:v>GTIN: 7896676415308</x:v>
      </x:c>
      <x:c r="N172" s="28" t="str">
        <x:f>"30049099"</x:f>
        <x:v>30049099</x:v>
      </x:c>
      <x:c r="O172" s="29" t="n">
        <x:v>10</x:v>
      </x:c>
      <x:c r="P172" s="29" t="n">
        <x:v>38.71</x:v>
      </x:c>
      <x:c r="Q172" s="28" t="str">
        <x:f>"620 | 621 | 622 | 623 | 624"</x:f>
        <x:v>620 | 621 | 622 | 623 | 624</x:v>
      </x:c>
      <x:c r="R172" s="28" t="str">
        <x:f>"N550005 | N550004 | N550002 | N550001 | N550003"</x:f>
        <x:v>N550005 | N550004 | N550002 | N550001 | N550003</x:v>
      </x:c>
      <x:c r="S172" s="22" t="str">
        <x:v>varios codigos legados consolidados em um produto; preco de venda divergente entre lotes</x:v>
      </x:c>
      <x:c r="T172" s="22" t="str">
        <x:v>NITROGLICERINA - 5MG/ML | 5MG | 5ML - CAIXA - CX/10 | CX | CONTEUDO10 | FATOR10 - CRISTALIA</x:v>
      </x:c>
      <x:c r="U172" s="27" t="str"/>
      <x:c r="V172" s="27" t="str"/>
    </x:row>
    <x:row r="173">
      <x:c r="A173" s="28" t="str">
        <x:f>"G-268"</x:f>
        <x:v>G-268</x:v>
      </x:c>
      <x:c r="B173" s="22" t="str">
        <x:v>SERINGA INSULINA AG</x:v>
      </x:c>
      <x:c r="C173" s="22" t="str">
        <x:v>MÉDIO</x:v>
      </x:c>
      <x:c r="D173" s="22" t="str">
        <x:v>MANTER separado como variante/SKU</x:v>
      </x:c>
      <x:c r="E173" s="28" t="str">
        <x:f>"SPI0002"</x:f>
        <x:v>SPI0002</x:v>
      </x:c>
      <x:c r="F173" s="22" t="str">
        <x:v>SERINGA P/ INSULINA 0,5ML C/AG 0,25X6MM CX/100 - SR</x:v>
      </x:c>
      <x:c r="G173" s="22" t="str">
        <x:v>SERINGA INSULINA AG</x:v>
      </x:c>
      <x:c r="H173" s="22" t="str">
        <x:v>0,5ML</x:v>
      </x:c>
      <x:c r="I173" s="22" t="str">
        <x:v>0,25X6MM</x:v>
      </x:c>
      <x:c r="J173" s="22" t="str">
        <x:v>CX/100 | CX | CONTEUDO100 | FATOR100</x:v>
      </x:c>
      <x:c r="K173" s="22" t="str">
        <x:v>CAIXA</x:v>
      </x:c>
      <x:c r="L173" s="22" t="str">
        <x:v>SR</x:v>
      </x:c>
      <x:c r="M173" s="28" t="str">
        <x:f>"GTIN: 7898579240216"</x:f>
        <x:v>GTIN: 7898579240216</x:v>
      </x:c>
      <x:c r="N173" s="28" t="str">
        <x:f>"90183119"</x:f>
        <x:v>90183119</x:v>
      </x:c>
      <x:c r="O173" s="29" t="n">
        <x:v>0.19</x:v>
      </x:c>
      <x:c r="P173" s="29" t="n">
        <x:v>0.29</x:v>
      </x:c>
      <x:c r="Q173" s="28" t="str">
        <x:f>"695"</x:f>
        <x:v>695</x:v>
      </x:c>
      <x:c r="R173" s="28" t="str">
        <x:f>"SPI0002"</x:f>
        <x:v>SPI0002</x:v>
      </x:c>
      <x:c r="S173" s="22" t="str"/>
      <x:c r="T173" s="22" t="str">
        <x:v>SERINGA INSULINA AG - 0,5ML - 0,25X6MM - CAIXA - CX/100 | CX | CONTEUDO100 | FATOR100 - SR</x:v>
      </x:c>
      <x:c r="U173" s="27" t="str"/>
      <x:c r="V173" s="27" t="str"/>
    </x:row>
    <x:row r="174">
      <x:c r="A174" s="28" t="str">
        <x:f>"G-268"</x:f>
        <x:v>G-268</x:v>
      </x:c>
      <x:c r="B174" s="22" t="str">
        <x:v>SERINGA INSULINA AG</x:v>
      </x:c>
      <x:c r="C174" s="22" t="str">
        <x:v>MÉDIO</x:v>
      </x:c>
      <x:c r="D174" s="22" t="str">
        <x:v>MANTER separado como variante/SKU</x:v>
      </x:c>
      <x:c r="E174" s="28" t="str">
        <x:f>"SPI0001"</x:f>
        <x:v>SPI0001</x:v>
      </x:c>
      <x:c r="F174" s="22" t="str">
        <x:v>SERINGA P/ INSULINA 1ML C/AG 13X0,45 - CX/500 - SR</x:v>
      </x:c>
      <x:c r="G174" s="22" t="str">
        <x:v>SERINGA INSULINA AG</x:v>
      </x:c>
      <x:c r="H174" s="22" t="str">
        <x:v>1ML</x:v>
      </x:c>
      <x:c r="I174" s="22" t="str">
        <x:v>13X0,45</x:v>
      </x:c>
      <x:c r="J174" s="22" t="str">
        <x:v>CX/500 | CX | CONTEUDO500 | FATOR500</x:v>
      </x:c>
      <x:c r="K174" s="22" t="str">
        <x:v>CAIXA</x:v>
      </x:c>
      <x:c r="L174" s="22" t="str">
        <x:v>SR</x:v>
      </x:c>
      <x:c r="M174" s="28" t="str">
        <x:f>"GTIN: 7898960950656"</x:f>
        <x:v>GTIN: 7898960950656</x:v>
      </x:c>
      <x:c r="N174" s="28" t="str">
        <x:f>"90183119"</x:f>
        <x:v>90183119</x:v>
      </x:c>
      <x:c r="O174" s="29" t="n">
        <x:v>0.19</x:v>
      </x:c>
      <x:c r="P174" s="29" t="n">
        <x:v>0.29</x:v>
      </x:c>
      <x:c r="Q174" s="28" t="str">
        <x:f>"696"</x:f>
        <x:v>696</x:v>
      </x:c>
      <x:c r="R174" s="28" t="str">
        <x:f>"SPI0001"</x:f>
        <x:v>SPI0001</x:v>
      </x:c>
      <x:c r="S174" s="22" t="str"/>
      <x:c r="T174" s="22" t="str">
        <x:v>SERINGA INSULINA AG - 1ML - 13X0,45 - CAIXA - CX/500 | CX | CONTEUDO500 | FATOR500 - SR</x:v>
      </x:c>
      <x:c r="U174" s="27" t="str"/>
      <x:c r="V174" s="27" t="str"/>
    </x:row>
    <x:row r="175">
      <x:c r="A175" s="28" t="str">
        <x:f>"G-279"</x:f>
        <x:v>G-279</x:v>
      </x:c>
      <x:c r="B175" s="22" t="str">
        <x:v>STIMUPLEX</x:v>
      </x:c>
      <x:c r="C175" s="22" t="str">
        <x:v>MÉDIO</x:v>
      </x:c>
      <x:c r="D175" s="22" t="str">
        <x:v>MANTER separado como variante/SKU</x:v>
      </x:c>
      <x:c r="E175" s="28" t="str">
        <x:f>"S100001"</x:f>
        <x:v>S100001</x:v>
      </x:c>
      <x:c r="F175" s="22" t="str">
        <x:v>STIMUPLEX A 100 0.80X100MM 21GX4 - BBRAUM</x:v>
      </x:c>
      <x:c r="G175" s="22" t="str">
        <x:v>STIMUPLEX</x:v>
      </x:c>
      <x:c r="H175" s="22" t="str"/>
      <x:c r="I175" s="22" t="str">
        <x:v>0.80X100MM | 21GX4</x:v>
      </x:c>
      <x:c r="J175" s="22" t="str">
        <x:v>UN</x:v>
      </x:c>
      <x:c r="K175" s="22" t="str">
        <x:v>UNIDADE</x:v>
      </x:c>
      <x:c r="L175" s="22" t="str">
        <x:v>BBRAUM</x:v>
      </x:c>
      <x:c r="M175" s="28" t="str"/>
      <x:c r="N175" s="28" t="str">
        <x:f>"90183219"</x:f>
        <x:v>90183219</x:v>
      </x:c>
      <x:c r="O175" s="29" t="n">
        <x:v>100</x:v>
      </x:c>
      <x:c r="P175" s="29" t="n">
        <x:v>148</x:v>
      </x:c>
      <x:c r="Q175" s="28" t="str">
        <x:f>"744"</x:f>
        <x:v>744</x:v>
      </x:c>
      <x:c r="R175" s="28" t="str">
        <x:f>"S100001"</x:f>
        <x:v>S100001</x:v>
      </x:c>
      <x:c r="S175" s="22" t="str">
        <x:v>GTIN ausente ou invalido</x:v>
      </x:c>
      <x:c r="T175" s="22" t="str">
        <x:v>STIMUPLEX - 0.80X100MM | 21GX4 - UNIDADE - UN - BBRAUM</x:v>
      </x:c>
      <x:c r="U175" s="27" t="str"/>
      <x:c r="V175" s="27" t="str"/>
    </x:row>
    <x:row r="176">
      <x:c r="A176" s="28" t="str">
        <x:f>"G-279"</x:f>
        <x:v>G-279</x:v>
      </x:c>
      <x:c r="B176" s="22" t="str">
        <x:v>STIMUPLEX</x:v>
      </x:c>
      <x:c r="C176" s="22" t="str">
        <x:v>MÉDIO</x:v>
      </x:c>
      <x:c r="D176" s="22" t="str">
        <x:v>MANTER separado como variante/SKU</x:v>
      </x:c>
      <x:c r="E176" s="28" t="str">
        <x:f>"S100002"</x:f>
        <x:v>S100002</x:v>
      </x:c>
      <x:c r="F176" s="22" t="str">
        <x:v>STIMUPLEX A 50MM 0.70X50MM 22GX2 - BBRAUM</x:v>
      </x:c>
      <x:c r="G176" s="22" t="str">
        <x:v>STIMUPLEX</x:v>
      </x:c>
      <x:c r="H176" s="22" t="str"/>
      <x:c r="I176" s="22" t="str">
        <x:v>0.70X50MM | 22GX2</x:v>
      </x:c>
      <x:c r="J176" s="22" t="str">
        <x:v>UN</x:v>
      </x:c>
      <x:c r="K176" s="22" t="str">
        <x:v>UNIDADE</x:v>
      </x:c>
      <x:c r="L176" s="22" t="str">
        <x:v>BBRAUM</x:v>
      </x:c>
      <x:c r="M176" s="28" t="str">
        <x:f>"GTIN: 4039239106093"</x:f>
        <x:v>GTIN: 4039239106093</x:v>
      </x:c>
      <x:c r="N176" s="28" t="str">
        <x:f>"90183219"</x:f>
        <x:v>90183219</x:v>
      </x:c>
      <x:c r="O176" s="29" t="n">
        <x:v>100</x:v>
      </x:c>
      <x:c r="P176" s="29" t="n">
        <x:v>148</x:v>
      </x:c>
      <x:c r="Q176" s="28" t="str">
        <x:f>"745"</x:f>
        <x:v>745</x:v>
      </x:c>
      <x:c r="R176" s="28" t="str">
        <x:f>"S100002"</x:f>
        <x:v>S100002</x:v>
      </x:c>
      <x:c r="S176" s="22" t="str"/>
      <x:c r="T176" s="22" t="str">
        <x:v>STIMUPLEX - 0.70X50MM | 22GX2 - UNIDADE - UN - BBRAUM</x:v>
      </x:c>
      <x:c r="U176" s="27" t="str"/>
      <x:c r="V176" s="27" t="str"/>
    </x:row>
    <x:row r="177">
      <x:c r="A177" s="28" t="str">
        <x:f>"G-288"</x:f>
        <x:v>G-288</x:v>
      </x:c>
      <x:c r="B177" s="22" t="str">
        <x:v>SULFATO POLIMIXINA B</x:v>
      </x:c>
      <x:c r="C177" s="22" t="str">
        <x:v>MÉDIO</x:v>
      </x:c>
      <x:c r="D177" s="22" t="str">
        <x:v>MANTER separado como variante/SKU</x:v>
      </x:c>
      <x:c r="E177" s="28" t="str">
        <x:f>"SPB0001"</x:f>
        <x:v>SPB0001</x:v>
      </x:c>
      <x:c r="F177" s="22" t="str">
        <x:v>SULFATO DE POLIMIXINA B 500.000 UI FR - CX/25 - BLAU</x:v>
      </x:c>
      <x:c r="G177" s="22" t="str">
        <x:v>SULFATO POLIMIXINA B</x:v>
      </x:c>
      <x:c r="H177" s="22" t="str">
        <x:v>500.000UI</x:v>
      </x:c>
      <x:c r="I177" s="22" t="str"/>
      <x:c r="J177" s="22" t="str">
        <x:v>FR | CX/25 | CX | CONTEUDO25 | FATOR25</x:v>
      </x:c>
      <x:c r="K177" s="22" t="str">
        <x:v>CAIXA</x:v>
      </x:c>
      <x:c r="L177" s="22" t="str">
        <x:v>BLAU</x:v>
      </x:c>
      <x:c r="M177" s="28" t="str"/>
      <x:c r="N177" s="28" t="str">
        <x:f>"30042079"</x:f>
        <x:v>30042079</x:v>
      </x:c>
      <x:c r="O177" s="29" t="n">
        <x:v>6</x:v>
      </x:c>
      <x:c r="P177" s="29" t="n">
        <x:v>9.5</x:v>
      </x:c>
      <x:c r="Q177" s="28" t="str">
        <x:f>"783"</x:f>
        <x:v>783</x:v>
      </x:c>
      <x:c r="R177" s="28" t="str">
        <x:f>"SPB0001"</x:f>
        <x:v>SPB0001</x:v>
      </x:c>
      <x:c r="S177" s="22" t="str">
        <x:v>GTIN ausente ou invalido</x:v>
      </x:c>
      <x:c r="T177" s="22" t="str">
        <x:v>SULFATO POLIMIXINA B - 500.000UI - CAIXA - FR | CX/25 | CX | CONTEUDO25 | FATOR25 - BLAU</x:v>
      </x:c>
      <x:c r="U177" s="27" t="str"/>
      <x:c r="V177" s="27" t="str"/>
    </x:row>
    <x:row r="178">
      <x:c r="A178" s="28" t="str">
        <x:f>"G-288"</x:f>
        <x:v>G-288</x:v>
      </x:c>
      <x:c r="B178" s="22" t="str">
        <x:v>SULFATO POLIMIXINA B</x:v>
      </x:c>
      <x:c r="C178" s="22" t="str">
        <x:v>MÉDIO</x:v>
      </x:c>
      <x:c r="D178" s="22" t="str">
        <x:v>MANTER separado como variante/SKU</x:v>
      </x:c>
      <x:c r="E178" s="28" t="str">
        <x:f>"SPB0002"</x:f>
        <x:v>SPB0002</x:v>
      </x:c>
      <x:c r="F178" s="22" t="str">
        <x:v>SULFATO DE POLIMIXINA B 500.000 UI FR - CX/5 - UNIÃO QUIMICA</x:v>
      </x:c>
      <x:c r="G178" s="22" t="str">
        <x:v>SULFATO POLIMIXINA B</x:v>
      </x:c>
      <x:c r="H178" s="22" t="str">
        <x:v>500.000UI</x:v>
      </x:c>
      <x:c r="I178" s="22" t="str"/>
      <x:c r="J178" s="22" t="str">
        <x:v>FR | CX/5 | CX | CONTEUDO5 | FATOR5</x:v>
      </x:c>
      <x:c r="K178" s="22" t="str">
        <x:v>CAIXA</x:v>
      </x:c>
      <x:c r="L178" s="22" t="str">
        <x:v>UNIÃO QUIMICA</x:v>
      </x:c>
      <x:c r="M178" s="28" t="str"/>
      <x:c r="N178" s="28" t="str">
        <x:f>"30042079"</x:f>
        <x:v>30042079</x:v>
      </x:c>
      <x:c r="O178" s="29" t="n">
        <x:v>6</x:v>
      </x:c>
      <x:c r="P178" s="29" t="n">
        <x:v>9.5</x:v>
      </x:c>
      <x:c r="Q178" s="28" t="str">
        <x:f>"784"</x:f>
        <x:v>784</x:v>
      </x:c>
      <x:c r="R178" s="28" t="str">
        <x:f>"SPB0002"</x:f>
        <x:v>SPB0002</x:v>
      </x:c>
      <x:c r="S178" s="22" t="str">
        <x:v>GTIN ausente ou invalido</x:v>
      </x:c>
      <x:c r="T178" s="22" t="str">
        <x:v>SULFATO POLIMIXINA B - 500.000UI - CAIXA - FR | CX/5 | CX | CONTEUDO5 | FATOR5 - UNIÃO QUIMICA</x:v>
      </x:c>
      <x:c r="U178" s="27" t="str"/>
      <x:c r="V178" s="27" t="str"/>
    </x:row>
    <x:row r="179">
      <x:c r="A179" s="28" t="str">
        <x:f>"G-299"</x:f>
        <x:v>G-299</x:v>
      </x:c>
      <x:c r="B179" s="22" t="str">
        <x:v>WRAP PESADO AZUL N ESTERIL</x:v>
      </x:c>
      <x:c r="C179" s="22" t="str">
        <x:v>MÉDIO</x:v>
      </x:c>
      <x:c r="D179" s="22" t="str">
        <x:v>MANTER separado como variante/SKU</x:v>
      </x:c>
      <x:c r="E179" s="28" t="str">
        <x:f>"WL00001"</x:f>
        <x:v>WL00001</x:v>
      </x:c>
      <x:c r="F179" s="22" t="str">
        <x:v>WRAP PESADO 0,80X0,80 AZUL N/ESTERIL - CX/250 - PION G</x:v>
      </x:c>
      <x:c r="G179" s="22" t="str">
        <x:v>WRAP PESADO AZUL N ESTERIL</x:v>
      </x:c>
      <x:c r="H179" s="22" t="str"/>
      <x:c r="I179" s="22" t="str">
        <x:v>0,80X0,80</x:v>
      </x:c>
      <x:c r="J179" s="22" t="str">
        <x:v>CX/250 | CX | CONTEUDO250 | FATOR250</x:v>
      </x:c>
      <x:c r="K179" s="22" t="str">
        <x:v>CAIXA</x:v>
      </x:c>
      <x:c r="L179" s="22" t="str">
        <x:v>PION G</x:v>
      </x:c>
      <x:c r="M179" s="28" t="str">
        <x:f>"GTIN: 7908267405091"</x:f>
        <x:v>GTIN: 7908267405091</x:v>
      </x:c>
      <x:c r="N179" s="28" t="str">
        <x:f>"56031290"</x:f>
        <x:v>56031290</x:v>
      </x:c>
      <x:c r="O179" s="29" t="n">
        <x:v>1.5</x:v>
      </x:c>
      <x:c r="P179" s="29" t="n">
        <x:v>2.3</x:v>
      </x:c>
      <x:c r="Q179" s="28" t="str">
        <x:f>"822"</x:f>
        <x:v>822</x:v>
      </x:c>
      <x:c r="R179" s="28" t="str">
        <x:f>"WL00001"</x:f>
        <x:v>WL00001</x:v>
      </x:c>
      <x:c r="S179" s="22" t="str"/>
      <x:c r="T179" s="22" t="str">
        <x:v>WRAP PESADO AZUL N ESTERIL - 0,80X0,80 - CAIXA - CX/250 | CX | CONTEUDO250 | FATOR250 - PION G</x:v>
      </x:c>
      <x:c r="U179" s="27" t="str"/>
      <x:c r="V179" s="27" t="str"/>
    </x:row>
    <x:row r="180">
      <x:c r="A180" s="28" t="str">
        <x:f>"G-299"</x:f>
        <x:v>G-299</x:v>
      </x:c>
      <x:c r="B180" s="22" t="str">
        <x:v>WRAP PESADO AZUL N ESTERIL</x:v>
      </x:c>
      <x:c r="C180" s="22" t="str">
        <x:v>MÉDIO</x:v>
      </x:c>
      <x:c r="D180" s="22" t="str">
        <x:v>MANTER separado como variante/SKU</x:v>
      </x:c>
      <x:c r="E180" s="28" t="str">
        <x:f>"WL10004"</x:f>
        <x:v>WL10004</x:v>
      </x:c>
      <x:c r="F180" s="22" t="str">
        <x:v>WRAP PESADO 1,20X1,20 AZUL N/ESTERIL - CX/100 - PION G</x:v>
      </x:c>
      <x:c r="G180" s="22" t="str">
        <x:v>WRAP PESADO AZUL N ESTERIL</x:v>
      </x:c>
      <x:c r="H180" s="22" t="str"/>
      <x:c r="I180" s="22" t="str">
        <x:v>1,20X1,20</x:v>
      </x:c>
      <x:c r="J180" s="22" t="str">
        <x:v>CX/100 | CX | CONTEUDO100 | FATOR100</x:v>
      </x:c>
      <x:c r="K180" s="22" t="str">
        <x:v>CAIXA</x:v>
      </x:c>
      <x:c r="L180" s="22" t="str">
        <x:v>PION G</x:v>
      </x:c>
      <x:c r="M180" s="28" t="str">
        <x:f>"GTIN: 7908267404971"</x:f>
        <x:v>GTIN: 7908267404971</x:v>
      </x:c>
      <x:c r="N180" s="28" t="str">
        <x:f>"56031290"</x:f>
        <x:v>56031290</x:v>
      </x:c>
      <x:c r="O180" s="29" t="n">
        <x:v>3.22</x:v>
      </x:c>
      <x:c r="P180" s="29" t="n">
        <x:v>5.4</x:v>
      </x:c>
      <x:c r="Q180" s="28" t="str">
        <x:f>"824"</x:f>
        <x:v>824</x:v>
      </x:c>
      <x:c r="R180" s="28" t="str">
        <x:f>"WL10004"</x:f>
        <x:v>WL10004</x:v>
      </x:c>
      <x:c r="S180" s="22" t="str">
        <x:v>GTIN repetido em produtos distintos</x:v>
      </x:c>
      <x:c r="T180" s="22" t="str">
        <x:v>WRAP PESADO AZUL N ESTERIL - 1,20X1,20 - CAIXA - CX/100 | CX | CONTEUDO100 | FATOR100 - PION G</x:v>
      </x:c>
      <x:c r="U180" s="27" t="str"/>
      <x:c r="V180" s="27" t="str"/>
    </x:row>
    <x:row r="181">
      <x:c r="A181" s="28" t="str">
        <x:f>"G-207"</x:f>
        <x:v>G-207</x:v>
      </x:c>
      <x:c r="B181" s="22" t="str">
        <x:v>LUVA PROCEDIMENTO EM LATEX M COM PO</x:v>
      </x:c>
      <x:c r="C181" s="22" t="str">
        <x:v>BAIXO</x:v>
      </x:c>
      <x:c r="D181" s="22" t="str">
        <x:v>REVISAR possível duplicidade</x:v>
      </x:c>
      <x:c r="E181" s="28" t="str">
        <x:f>"LPE0012"</x:f>
        <x:v>LPE0012</x:v>
      </x:c>
      <x:c r="F181" s="22" t="str">
        <x:v>LUVA DE PROCEDIMENTO EM LATEX M COM PÓ - CX/100 - ABL</x:v>
      </x:c>
      <x:c r="G181" s="22" t="str">
        <x:v>LUVA PROCEDIMENTO EM LATEX M COM PO</x:v>
      </x:c>
      <x:c r="H181" s="22" t="str"/>
      <x:c r="I181" s="22" t="str"/>
      <x:c r="J181" s="22" t="str">
        <x:v>CX/100 | CX | CONTEUDO100 | FATOR100</x:v>
      </x:c>
      <x:c r="K181" s="22" t="str">
        <x:v>CAIXA</x:v>
      </x:c>
      <x:c r="L181" s="22" t="str">
        <x:v>ABL</x:v>
      </x:c>
      <x:c r="M181" s="28" t="str">
        <x:f>"GTIN: 7898283814680"</x:f>
        <x:v>GTIN: 7898283814680</x:v>
      </x:c>
      <x:c r="N181" s="28" t="str">
        <x:f>"62160000"</x:f>
        <x:v>62160000</x:v>
      </x:c>
      <x:c r="O181" s="29" t="n">
        <x:v>6</x:v>
      </x:c>
      <x:c r="P181" s="29" t="n">
        <x:v>22.5</x:v>
      </x:c>
      <x:c r="Q181" s="28" t="str">
        <x:f>"561"</x:f>
        <x:v>561</x:v>
      </x:c>
      <x:c r="R181" s="28" t="str">
        <x:f>"LPE0012"</x:f>
        <x:v>LPE0012</x:v>
      </x:c>
      <x:c r="S181" s="22" t="str">
        <x:v>GTIN repetido em produtos distintos</x:v>
      </x:c>
      <x:c r="T181" s="22" t="str">
        <x:v>LUVA PROCEDIMENTO EM LATEX M COM PO - CAIXA - CX/100 | CX | CONTEUDO100 | FATOR100 - ABL</x:v>
      </x:c>
      <x:c r="U181" s="27" t="str"/>
      <x:c r="V181" s="27" t="str"/>
    </x:row>
    <x:row r="182">
      <x:c r="A182" s="28" t="str">
        <x:f>"G-207"</x:f>
        <x:v>G-207</x:v>
      </x:c>
      <x:c r="B182" s="22" t="str">
        <x:v>LUVA PROCEDIMENTO EM LATEX M COM PO</x:v>
      </x:c>
      <x:c r="C182" s="22" t="str">
        <x:v>BAIXO</x:v>
      </x:c>
      <x:c r="D182" s="22" t="str">
        <x:v>REVISAR possível duplicidade</x:v>
      </x:c>
      <x:c r="E182" s="28" t="str">
        <x:f>"LPE0002"</x:f>
        <x:v>LPE0002</x:v>
      </x:c>
      <x:c r="F182" s="22" t="str">
        <x:v>LUVA DE PROCEDIMENTO EM LATEX M COM PÓ - CX/100 - DESCARPACK</x:v>
      </x:c>
      <x:c r="G182" s="22" t="str">
        <x:v>LUVA PROCEDIMENTO EM LATEX M COM PO</x:v>
      </x:c>
      <x:c r="H182" s="22" t="str"/>
      <x:c r="I182" s="22" t="str"/>
      <x:c r="J182" s="22" t="str">
        <x:v>CX/100 | CX | CONTEUDO100 | FATOR100</x:v>
      </x:c>
      <x:c r="K182" s="22" t="str">
        <x:v>CAIXA</x:v>
      </x:c>
      <x:c r="L182" s="22" t="str">
        <x:v>DESCARPACK</x:v>
      </x:c>
      <x:c r="M182" s="28" t="str">
        <x:f>"GTIN: 7898283814680"</x:f>
        <x:v>GTIN: 7898283814680</x:v>
      </x:c>
      <x:c r="N182" s="28" t="str">
        <x:f>"62160000"</x:f>
        <x:v>62160000</x:v>
      </x:c>
      <x:c r="O182" s="29" t="n">
        <x:v>6</x:v>
      </x:c>
      <x:c r="P182" s="29" t="n">
        <x:v>22.5</x:v>
      </x:c>
      <x:c r="Q182" s="28" t="str">
        <x:f>"562"</x:f>
        <x:v>562</x:v>
      </x:c>
      <x:c r="R182" s="28" t="str">
        <x:f>"LPE0002"</x:f>
        <x:v>LPE0002</x:v>
      </x:c>
      <x:c r="S182" s="22" t="str">
        <x:v>GTIN repetido em produtos distintos</x:v>
      </x:c>
      <x:c r="T182" s="22" t="str">
        <x:v>LUVA PROCEDIMENTO EM LATEX M COM PO - CAIXA - CX/100 | CX | CONTEUDO100 | FATOR100 - DESCARPACK</x:v>
      </x:c>
      <x:c r="U182" s="27" t="str"/>
      <x:c r="V182" s="27" t="str"/>
    </x:row>
    <x:row r="183">
      <x:c r="A183" s="28" t="str">
        <x:f>"G-207"</x:f>
        <x:v>G-207</x:v>
      </x:c>
      <x:c r="B183" s="22" t="str">
        <x:v>LUVA PROCEDIMENTO EM LATEX M COM PO</x:v>
      </x:c>
      <x:c r="C183" s="22" t="str">
        <x:v>BAIXO</x:v>
      </x:c>
      <x:c r="D183" s="22" t="str">
        <x:v>REVISAR possível duplicidade</x:v>
      </x:c>
      <x:c r="E183" s="28" t="str">
        <x:f>"LPE0001"</x:f>
        <x:v>LPE0001</x:v>
      </x:c>
      <x:c r="F183" s="22" t="str">
        <x:v>LUVA DE PROCEDIMENTO EM LATEX M COM PÓ - CX/100 - GLOMED</x:v>
      </x:c>
      <x:c r="G183" s="22" t="str">
        <x:v>LUVA PROCEDIMENTO EM LATEX M COM PO</x:v>
      </x:c>
      <x:c r="H183" s="22" t="str"/>
      <x:c r="I183" s="22" t="str"/>
      <x:c r="J183" s="22" t="str">
        <x:v>CX/100 | CX | CONTEUDO100 | FATOR100</x:v>
      </x:c>
      <x:c r="K183" s="22" t="str">
        <x:v>CAIXA</x:v>
      </x:c>
      <x:c r="L183" s="22" t="str">
        <x:v>GLOMED</x:v>
      </x:c>
      <x:c r="M183" s="28" t="str">
        <x:f>"GTIN: 7898283814680"</x:f>
        <x:v>GTIN: 7898283814680</x:v>
      </x:c>
      <x:c r="N183" s="28" t="str">
        <x:f>"62160000"</x:f>
        <x:v>62160000</x:v>
      </x:c>
      <x:c r="O183" s="29" t="n">
        <x:v>6</x:v>
      </x:c>
      <x:c r="P183" s="29" t="n">
        <x:v>27</x:v>
      </x:c>
      <x:c r="Q183" s="28" t="str">
        <x:f>"563"</x:f>
        <x:v>563</x:v>
      </x:c>
      <x:c r="R183" s="28" t="str">
        <x:f>"LPE0001"</x:f>
        <x:v>LPE0001</x:v>
      </x:c>
      <x:c r="S183" s="22" t="str">
        <x:v>GTIN repetido em produtos distintos</x:v>
      </x:c>
      <x:c r="T183" s="22" t="str">
        <x:v>LUVA PROCEDIMENTO EM LATEX M COM PO - CAIXA - CX/100 | CX | CONTEUDO100 | FATOR100 - GLOMED</x:v>
      </x:c>
      <x:c r="U183" s="27" t="str"/>
      <x:c r="V183" s="27" t="str"/>
    </x:row>
    <x:row r="184">
      <x:c r="A184" s="28" t="str">
        <x:f>"G-207"</x:f>
        <x:v>G-207</x:v>
      </x:c>
      <x:c r="B184" s="22" t="str">
        <x:v>LUVA PROCEDIMENTO EM LATEX M COM PO</x:v>
      </x:c>
      <x:c r="C184" s="22" t="str">
        <x:v>BAIXO</x:v>
      </x:c>
      <x:c r="D184" s="22" t="str">
        <x:v>REVISAR possível duplicidade</x:v>
      </x:c>
      <x:c r="E184" s="28" t="str">
        <x:f>"LPE0010"</x:f>
        <x:v>LPE0010</x:v>
      </x:c>
      <x:c r="F184" s="22" t="str">
        <x:v>LUVA DE PROCEDIMENTO EM LATEX M COM PÓ - CX/100 - LATEX BR</x:v>
      </x:c>
      <x:c r="G184" s="22" t="str">
        <x:v>LUVA PROCEDIMENTO EM LATEX M COM PO</x:v>
      </x:c>
      <x:c r="H184" s="22" t="str"/>
      <x:c r="I184" s="22" t="str"/>
      <x:c r="J184" s="22" t="str">
        <x:v>CX/100 | CX | CONTEUDO100 | FATOR100</x:v>
      </x:c>
      <x:c r="K184" s="22" t="str">
        <x:v>CAIXA</x:v>
      </x:c>
      <x:c r="L184" s="22" t="str">
        <x:v>LATEX BR</x:v>
      </x:c>
      <x:c r="M184" s="28" t="str"/>
      <x:c r="N184" s="28" t="str">
        <x:f>"62160000"</x:f>
        <x:v>62160000</x:v>
      </x:c>
      <x:c r="O184" s="29" t="n">
        <x:v>6</x:v>
      </x:c>
      <x:c r="P184" s="29" t="n">
        <x:v>22.5</x:v>
      </x:c>
      <x:c r="Q184" s="28" t="str">
        <x:f>"564"</x:f>
        <x:v>564</x:v>
      </x:c>
      <x:c r="R184" s="28" t="str">
        <x:f>"LPE0010"</x:f>
        <x:v>LPE0010</x:v>
      </x:c>
      <x:c r="S184" s="22" t="str">
        <x:v>GTIN ausente ou invalido</x:v>
      </x:c>
      <x:c r="T184" s="22" t="str">
        <x:v>LUVA PROCEDIMENTO EM LATEX M COM PO - CAIXA - CX/100 | CX | CONTEUDO100 | FATOR100 - LATEX BR</x:v>
      </x:c>
      <x:c r="U184" s="27" t="str"/>
      <x:c r="V184" s="27" t="str"/>
    </x:row>
    <x:row r="185">
      <x:c r="A185" s="28" t="str">
        <x:f>"G-207"</x:f>
        <x:v>G-207</x:v>
      </x:c>
      <x:c r="B185" s="22" t="str">
        <x:v>LUVA PROCEDIMENTO EM LATEX M COM PO</x:v>
      </x:c>
      <x:c r="C185" s="22" t="str">
        <x:v>BAIXO</x:v>
      </x:c>
      <x:c r="D185" s="22" t="str">
        <x:v>REVISAR possível duplicidade</x:v>
      </x:c>
      <x:c r="E185" s="28" t="str">
        <x:f>"LPE0009"</x:f>
        <x:v>LPE0009</x:v>
      </x:c>
      <x:c r="F185" s="22" t="str">
        <x:v>LUVA DE PROCEDIMENTO EM LATEX M COM PÓ - CX/100 - MEDIX</x:v>
      </x:c>
      <x:c r="G185" s="22" t="str">
        <x:v>LUVA PROCEDIMENTO EM LATEX M COM PO</x:v>
      </x:c>
      <x:c r="H185" s="22" t="str"/>
      <x:c r="I185" s="22" t="str"/>
      <x:c r="J185" s="22" t="str">
        <x:v>CX/100 | CX | CONTEUDO100 | FATOR100</x:v>
      </x:c>
      <x:c r="K185" s="22" t="str">
        <x:v>CAIXA</x:v>
      </x:c>
      <x:c r="L185" s="22" t="str">
        <x:v>MEDIX</x:v>
      </x:c>
      <x:c r="M185" s="28" t="str">
        <x:f>"GTIN: 7898283814680"</x:f>
        <x:v>GTIN: 7898283814680</x:v>
      </x:c>
      <x:c r="N185" s="28" t="str">
        <x:f>"62160000"</x:f>
        <x:v>62160000</x:v>
      </x:c>
      <x:c r="O185" s="29" t="n">
        <x:v>6</x:v>
      </x:c>
      <x:c r="P185" s="29" t="n">
        <x:v>22.5</x:v>
      </x:c>
      <x:c r="Q185" s="28" t="str">
        <x:f>"565 | 566"</x:f>
        <x:v>565 | 566</x:v>
      </x:c>
      <x:c r="R185" s="28" t="str">
        <x:f>"LPE0009 | LPE0013"</x:f>
        <x:v>LPE0009 | LPE0013</x:v>
      </x:c>
      <x:c r="S185" s="22" t="str">
        <x:v>varios codigos legados consolidados em um produto; GTIN repetido em produtos distintos</x:v>
      </x:c>
      <x:c r="T185" s="22" t="str">
        <x:v>LUVA PROCEDIMENTO EM LATEX M COM PO - CAIXA - CX/100 | CX | CONTEUDO100 | FATOR100 - MEDIX</x:v>
      </x:c>
      <x:c r="U185" s="27" t="str"/>
      <x:c r="V185" s="27" t="str"/>
    </x:row>
    <x:row r="186">
      <x:c r="A186" s="28" t="str">
        <x:f>"G-055"</x:f>
        <x:v>G-055</x:v>
      </x:c>
      <x:c r="B186" s="22" t="str">
        <x:v>CATETER TRIPLO LUMEN 7FRX20CM</x:v>
      </x:c>
      <x:c r="C186" s="22" t="str">
        <x:v>BAIXO</x:v>
      </x:c>
      <x:c r="D186" s="22" t="str">
        <x:v>REVISAR possível duplicidade</x:v>
      </x:c>
      <x:c r="E186" s="28" t="str">
        <x:f>"CTL0010"</x:f>
        <x:v>CTL0010</x:v>
      </x:c>
      <x:c r="F186" s="22" t="str">
        <x:v>CATETER TRIPLO LUMEN 7FRX20CM - ALIVE HEART</x:v>
      </x:c>
      <x:c r="G186" s="22" t="str">
        <x:v>CATETER TRIPLO LUMEN 7FRX20CM</x:v>
      </x:c>
      <x:c r="H186" s="22" t="str"/>
      <x:c r="I186" s="22" t="str"/>
      <x:c r="J186" s="22" t="str">
        <x:v>UND</x:v>
      </x:c>
      <x:c r="K186" s="22" t="str">
        <x:v>UNIDADE</x:v>
      </x:c>
      <x:c r="L186" s="22" t="str">
        <x:v>ALIVE HEART</x:v>
      </x:c>
      <x:c r="M186" s="28" t="str">
        <x:f>"GTIN: 7898230230239"</x:f>
        <x:v>GTIN: 7898230230239</x:v>
      </x:c>
      <x:c r="N186" s="28" t="str">
        <x:f>"90183921"</x:f>
        <x:v>90183921</x:v>
      </x:c>
      <x:c r="O186" s="29" t="n">
        <x:v>25</x:v>
      </x:c>
      <x:c r="P186" s="29" t="n">
        <x:v>57.81</x:v>
      </x:c>
      <x:c r="Q186" s="28" t="str">
        <x:f>"123 | 124"</x:f>
        <x:v>123 | 124</x:v>
      </x:c>
      <x:c r="R186" s="28" t="str">
        <x:f>"CTL0010 | CTL0002"</x:f>
        <x:v>CTL0010 | CTL0002</x:v>
      </x:c>
      <x:c r="S186" s="22" t="str">
        <x:v>varios codigos legados consolidados em um produto; GTIN repetido em produtos distintos</x:v>
      </x:c>
      <x:c r="T186" s="22" t="str">
        <x:v>CATETER TRIPLO LUMEN 7FRX20CM - UNIDADE - UND - ALIVE HEART</x:v>
      </x:c>
      <x:c r="U186" s="27" t="str"/>
      <x:c r="V186" s="27" t="str"/>
    </x:row>
    <x:row r="187">
      <x:c r="A187" s="28" t="str">
        <x:f>"G-055"</x:f>
        <x:v>G-055</x:v>
      </x:c>
      <x:c r="B187" s="22" t="str">
        <x:v>CATETER TRIPLO LUMEN 7FRX20CM</x:v>
      </x:c>
      <x:c r="C187" s="22" t="str">
        <x:v>BAIXO</x:v>
      </x:c>
      <x:c r="D187" s="22" t="str">
        <x:v>REVISAR possível duplicidade</x:v>
      </x:c>
      <x:c r="E187" s="28" t="str">
        <x:f>"CTL0007"</x:f>
        <x:v>CTL0007</x:v>
      </x:c>
      <x:c r="F187" s="22" t="str">
        <x:v>CATETER TRIPLO LUMEN 7FRX20CM - ARROW</x:v>
      </x:c>
      <x:c r="G187" s="22" t="str">
        <x:v>CATETER TRIPLO LUMEN 7FRX20CM</x:v>
      </x:c>
      <x:c r="H187" s="22" t="str"/>
      <x:c r="I187" s="22" t="str"/>
      <x:c r="J187" s="22" t="str">
        <x:v>UND</x:v>
      </x:c>
      <x:c r="K187" s="22" t="str">
        <x:v>UNIDADE</x:v>
      </x:c>
      <x:c r="L187" s="22" t="str">
        <x:v>ARROW</x:v>
      </x:c>
      <x:c r="M187" s="28" t="str">
        <x:f>"GTIN: 7898230230239"</x:f>
        <x:v>GTIN: 7898230230239</x:v>
      </x:c>
      <x:c r="N187" s="28" t="str">
        <x:f>"90183929"</x:f>
        <x:v>90183929</x:v>
      </x:c>
      <x:c r="O187" s="29" t="n">
        <x:v>38</x:v>
      </x:c>
      <x:c r="P187" s="29" t="n">
        <x:v>57.81</x:v>
      </x:c>
      <x:c r="Q187" s="28" t="str">
        <x:f>"125"</x:f>
        <x:v>125</x:v>
      </x:c>
      <x:c r="R187" s="28" t="str">
        <x:f>"CTL0007"</x:f>
        <x:v>CTL0007</x:v>
      </x:c>
      <x:c r="S187" s="22" t="str">
        <x:v>GTIN repetido em produtos distintos</x:v>
      </x:c>
      <x:c r="T187" s="22" t="str">
        <x:v>CATETER TRIPLO LUMEN 7FRX20CM - UNIDADE - UND - ARROW</x:v>
      </x:c>
      <x:c r="U187" s="27" t="str"/>
      <x:c r="V187" s="27" t="str"/>
    </x:row>
    <x:row r="188">
      <x:c r="A188" s="28" t="str">
        <x:f>"G-055"</x:f>
        <x:v>G-055</x:v>
      </x:c>
      <x:c r="B188" s="22" t="str">
        <x:v>CATETER TRIPLO LUMEN 7FRX20CM</x:v>
      </x:c>
      <x:c r="C188" s="22" t="str">
        <x:v>BAIXO</x:v>
      </x:c>
      <x:c r="D188" s="22" t="str">
        <x:v>REVISAR possível duplicidade</x:v>
      </x:c>
      <x:c r="E188" s="28" t="str">
        <x:f>"CTL0009"</x:f>
        <x:v>CTL0009</x:v>
      </x:c>
      <x:c r="F188" s="22" t="str">
        <x:v>CATETER TRIPLO LUMEN 7FRX20CM - B BRAUN</x:v>
      </x:c>
      <x:c r="G188" s="22" t="str">
        <x:v>CATETER TRIPLO LUMEN 7FRX20CM</x:v>
      </x:c>
      <x:c r="H188" s="22" t="str"/>
      <x:c r="I188" s="22" t="str"/>
      <x:c r="J188" s="22" t="str">
        <x:v>UND</x:v>
      </x:c>
      <x:c r="K188" s="22" t="str">
        <x:v>UNIDADE</x:v>
      </x:c>
      <x:c r="L188" s="22" t="str">
        <x:v>B BRAUN</x:v>
      </x:c>
      <x:c r="M188" s="28" t="str">
        <x:f>"GTIN: 7898230230239"</x:f>
        <x:v>GTIN: 7898230230239</x:v>
      </x:c>
      <x:c r="N188" s="28" t="str">
        <x:f>"90183929"</x:f>
        <x:v>90183929</x:v>
      </x:c>
      <x:c r="O188" s="29" t="n">
        <x:v>25</x:v>
      </x:c>
      <x:c r="P188" s="29" t="n">
        <x:v>57.81</x:v>
      </x:c>
      <x:c r="Q188" s="28" t="str">
        <x:f>"117 | 118 | 119 | 120 | 121"</x:f>
        <x:v>117 | 118 | 119 | 120 | 121</x:v>
      </x:c>
      <x:c r="R188" s="28" t="str">
        <x:f>"CTL0001 | CTL0008 | CTL0009 | CTL0012 | CTL0011"</x:f>
        <x:v>CTL0001 | CTL0008 | CTL0009 | CTL0012 | CTL0011</x:v>
      </x:c>
      <x:c r="S188" s="22" t="str">
        <x:v>varios codigos legados consolidados em um produto; GTIN repetido em produtos distintos; custo divergente entre lotes</x:v>
      </x:c>
      <x:c r="T188" s="22" t="str">
        <x:v>CATETER TRIPLO LUMEN 7FRX20CM - UNIDADE - UND - B BRAUN</x:v>
      </x:c>
      <x:c r="U188" s="27" t="str"/>
      <x:c r="V188" s="27" t="str"/>
    </x:row>
    <x:row r="189">
      <x:c r="A189" s="28" t="str">
        <x:f>"G-055"</x:f>
        <x:v>G-055</x:v>
      </x:c>
      <x:c r="B189" s="22" t="str">
        <x:v>CATETER TRIPLO LUMEN 7FRX20CM</x:v>
      </x:c>
      <x:c r="C189" s="22" t="str">
        <x:v>BAIXO</x:v>
      </x:c>
      <x:c r="D189" s="22" t="str">
        <x:v>REVISAR possível duplicidade</x:v>
      </x:c>
      <x:c r="E189" s="28" t="str">
        <x:f>"CTL0003"</x:f>
        <x:v>CTL0003</x:v>
      </x:c>
      <x:c r="F189" s="22" t="str">
        <x:v>CATETER TRIPLO LUMEN 7FRX20CM - BIOMEDICAL</x:v>
      </x:c>
      <x:c r="G189" s="22" t="str">
        <x:v>CATETER TRIPLO LUMEN 7FRX20CM</x:v>
      </x:c>
      <x:c r="H189" s="22" t="str"/>
      <x:c r="I189" s="22" t="str"/>
      <x:c r="J189" s="22" t="str">
        <x:v>UND</x:v>
      </x:c>
      <x:c r="K189" s="22" t="str">
        <x:v>UNIDADE</x:v>
      </x:c>
      <x:c r="L189" s="22" t="str">
        <x:v>BIOMEDICAL</x:v>
      </x:c>
      <x:c r="M189" s="28" t="str">
        <x:f>"GTIN: 7898230230239"</x:f>
        <x:v>GTIN: 7898230230239</x:v>
      </x:c>
      <x:c r="N189" s="28" t="str">
        <x:f>"90183929"</x:f>
        <x:v>90183929</x:v>
      </x:c>
      <x:c r="O189" s="29" t="n">
        <x:v>35</x:v>
      </x:c>
      <x:c r="P189" s="29" t="n">
        <x:v>57.81</x:v>
      </x:c>
      <x:c r="Q189" s="28" t="str">
        <x:f>"122 | 126"</x:f>
        <x:v>122 | 126</x:v>
      </x:c>
      <x:c r="R189" s="28" t="str">
        <x:f>"CTL0003 | CTL0006"</x:f>
        <x:v>CTL0003 | CTL0006</x:v>
      </x:c>
      <x:c r="S189" s="22" t="str">
        <x:v>varios codigos legados consolidados em um produto; GTIN repetido em produtos distintos; custo divergente entre lotes</x:v>
      </x:c>
      <x:c r="T189" s="22" t="str">
        <x:v>CATETER TRIPLO LUMEN 7FRX20CM - UNIDADE - UND - BIOMEDICAL</x:v>
      </x:c>
      <x:c r="U189" s="27" t="str"/>
      <x:c r="V189" s="27" t="str"/>
    </x:row>
    <x:row r="190">
      <x:c r="A190" s="28" t="str">
        <x:f>"G-206"</x:f>
        <x:v>G-206</x:v>
      </x:c>
      <x:c r="B190" s="22" t="str">
        <x:v>LUVA PROCEDIMENTO EM LATEX G COM PO</x:v>
      </x:c>
      <x:c r="C190" s="22" t="str">
        <x:v>BAIXO</x:v>
      </x:c>
      <x:c r="D190" s="22" t="str">
        <x:v>REVISAR possível duplicidade</x:v>
      </x:c>
      <x:c r="E190" s="28" t="str">
        <x:f>"LPE0006"</x:f>
        <x:v>LPE0006</x:v>
      </x:c>
      <x:c r="F190" s="22" t="str">
        <x:v>LUVA DE PROCEDIMENTO EM LATEX G COM PÓ - CX/100 - ABL</x:v>
      </x:c>
      <x:c r="G190" s="22" t="str">
        <x:v>LUVA PROCEDIMENTO EM LATEX G COM PO</x:v>
      </x:c>
      <x:c r="H190" s="22" t="str"/>
      <x:c r="I190" s="22" t="str"/>
      <x:c r="J190" s="22" t="str">
        <x:v>CX/100 | CX | CONTEUDO100 | FATOR100</x:v>
      </x:c>
      <x:c r="K190" s="22" t="str">
        <x:v>CAIXA</x:v>
      </x:c>
      <x:c r="L190" s="22" t="str">
        <x:v>ABL</x:v>
      </x:c>
      <x:c r="M190" s="28" t="str">
        <x:f>"GTIN: 7898283814680"</x:f>
        <x:v>GTIN: 7898283814680</x:v>
      </x:c>
      <x:c r="N190" s="28" t="str">
        <x:f>"62160000"</x:f>
        <x:v>62160000</x:v>
      </x:c>
      <x:c r="O190" s="29" t="n">
        <x:v>6</x:v>
      </x:c>
      <x:c r="P190" s="29" t="n">
        <x:v>22.5</x:v>
      </x:c>
      <x:c r="Q190" s="28" t="str">
        <x:f>"557"</x:f>
        <x:v>557</x:v>
      </x:c>
      <x:c r="R190" s="28" t="str">
        <x:f>"LPE0006"</x:f>
        <x:v>LPE0006</x:v>
      </x:c>
      <x:c r="S190" s="22" t="str">
        <x:v>GTIN repetido em produtos distintos</x:v>
      </x:c>
      <x:c r="T190" s="22" t="str">
        <x:v>LUVA PROCEDIMENTO EM LATEX G COM PO - CAIXA - CX/100 | CX | CONTEUDO100 | FATOR100 - ABL</x:v>
      </x:c>
      <x:c r="U190" s="27" t="str"/>
      <x:c r="V190" s="27" t="str"/>
    </x:row>
    <x:row r="191">
      <x:c r="A191" s="28" t="str">
        <x:f>"G-206"</x:f>
        <x:v>G-206</x:v>
      </x:c>
      <x:c r="B191" s="22" t="str">
        <x:v>LUVA PROCEDIMENTO EM LATEX G COM PO</x:v>
      </x:c>
      <x:c r="C191" s="22" t="str">
        <x:v>BAIXO</x:v>
      </x:c>
      <x:c r="D191" s="22" t="str">
        <x:v>REVISAR possível duplicidade</x:v>
      </x:c>
      <x:c r="E191" s="28" t="str">
        <x:f>"LPE0003"</x:f>
        <x:v>LPE0003</x:v>
      </x:c>
      <x:c r="F191" s="22" t="str">
        <x:v>LUVA DE PROCEDIMENTO EM LATEX G COM PÓ - CX/100 - DESCARPACK</x:v>
      </x:c>
      <x:c r="G191" s="22" t="str">
        <x:v>LUVA PROCEDIMENTO EM LATEX G COM PO</x:v>
      </x:c>
      <x:c r="H191" s="22" t="str"/>
      <x:c r="I191" s="22" t="str"/>
      <x:c r="J191" s="22" t="str">
        <x:v>CX/100 | CX | CONTEUDO100 | FATOR100</x:v>
      </x:c>
      <x:c r="K191" s="22" t="str">
        <x:v>CAIXA</x:v>
      </x:c>
      <x:c r="L191" s="22" t="str">
        <x:v>DESCARPACK</x:v>
      </x:c>
      <x:c r="M191" s="28" t="str">
        <x:f>"GTIN: 7898283814680"</x:f>
        <x:v>GTIN: 7898283814680</x:v>
      </x:c>
      <x:c r="N191" s="28" t="str">
        <x:f>"62160000"</x:f>
        <x:v>62160000</x:v>
      </x:c>
      <x:c r="O191" s="29" t="n">
        <x:v>6</x:v>
      </x:c>
      <x:c r="P191" s="29" t="n">
        <x:v>22.5</x:v>
      </x:c>
      <x:c r="Q191" s="28" t="str">
        <x:f>"558"</x:f>
        <x:v>558</x:v>
      </x:c>
      <x:c r="R191" s="28" t="str">
        <x:f>"LPE0003"</x:f>
        <x:v>LPE0003</x:v>
      </x:c>
      <x:c r="S191" s="22" t="str">
        <x:v>GTIN repetido em produtos distintos</x:v>
      </x:c>
      <x:c r="T191" s="22" t="str">
        <x:v>LUVA PROCEDIMENTO EM LATEX G COM PO - CAIXA - CX/100 | CX | CONTEUDO100 | FATOR100 - DESCARPACK</x:v>
      </x:c>
      <x:c r="U191" s="27" t="str"/>
      <x:c r="V191" s="27" t="str"/>
    </x:row>
    <x:row r="192">
      <x:c r="A192" s="28" t="str">
        <x:f>"G-206"</x:f>
        <x:v>G-206</x:v>
      </x:c>
      <x:c r="B192" s="22" t="str">
        <x:v>LUVA PROCEDIMENTO EM LATEX G COM PO</x:v>
      </x:c>
      <x:c r="C192" s="22" t="str">
        <x:v>BAIXO</x:v>
      </x:c>
      <x:c r="D192" s="22" t="str">
        <x:v>REVISAR possível duplicidade</x:v>
      </x:c>
      <x:c r="E192" s="28" t="str">
        <x:f>"LPE0008"</x:f>
        <x:v>LPE0008</x:v>
      </x:c>
      <x:c r="F192" s="22" t="str">
        <x:v>LUVA DE PROCEDIMENTO EM LATEX G COM PÓ - CX/100 - MEDIX</x:v>
      </x:c>
      <x:c r="G192" s="22" t="str">
        <x:v>LUVA PROCEDIMENTO EM LATEX G COM PO</x:v>
      </x:c>
      <x:c r="H192" s="22" t="str"/>
      <x:c r="I192" s="22" t="str"/>
      <x:c r="J192" s="22" t="str">
        <x:v>CX/100 | CX | CONTEUDO100 | FATOR100</x:v>
      </x:c>
      <x:c r="K192" s="22" t="str">
        <x:v>CAIXA</x:v>
      </x:c>
      <x:c r="L192" s="22" t="str">
        <x:v>MEDIX</x:v>
      </x:c>
      <x:c r="M192" s="28" t="str">
        <x:f>"GTIN: 7898283814680"</x:f>
        <x:v>GTIN: 7898283814680</x:v>
      </x:c>
      <x:c r="N192" s="28" t="str">
        <x:f>"62160000"</x:f>
        <x:v>62160000</x:v>
      </x:c>
      <x:c r="O192" s="29" t="n">
        <x:v>6</x:v>
      </x:c>
      <x:c r="P192" s="29" t="n">
        <x:v>22.5</x:v>
      </x:c>
      <x:c r="Q192" s="28" t="str">
        <x:f>"559"</x:f>
        <x:v>559</x:v>
      </x:c>
      <x:c r="R192" s="28" t="str">
        <x:f>"LPE0008"</x:f>
        <x:v>LPE0008</x:v>
      </x:c>
      <x:c r="S192" s="22" t="str">
        <x:v>GTIN repetido em produtos distintos</x:v>
      </x:c>
      <x:c r="T192" s="22" t="str">
        <x:v>LUVA PROCEDIMENTO EM LATEX G COM PO - CAIXA - CX/100 | CX | CONTEUDO100 | FATOR100 - MEDIX</x:v>
      </x:c>
      <x:c r="U192" s="27" t="str"/>
      <x:c r="V192" s="27" t="str"/>
    </x:row>
    <x:row r="193">
      <x:c r="A193" s="28" t="str">
        <x:f>"G-206"</x:f>
        <x:v>G-206</x:v>
      </x:c>
      <x:c r="B193" s="22" t="str">
        <x:v>LUVA PROCEDIMENTO EM LATEX G COM PO</x:v>
      </x:c>
      <x:c r="C193" s="22" t="str">
        <x:v>BAIXO</x:v>
      </x:c>
      <x:c r="D193" s="22" t="str">
        <x:v>REVISAR possível duplicidade</x:v>
      </x:c>
      <x:c r="E193" s="28" t="str">
        <x:f>"LPE0004"</x:f>
        <x:v>LPE0004</x:v>
      </x:c>
      <x:c r="F193" s="22" t="str">
        <x:v>LUVA DE PROCEDIMENTO EM LATEX G COM PÓ - CX/100 - PROCED</x:v>
      </x:c>
      <x:c r="G193" s="22" t="str">
        <x:v>LUVA PROCEDIMENTO EM LATEX G COM PO</x:v>
      </x:c>
      <x:c r="H193" s="22" t="str"/>
      <x:c r="I193" s="22" t="str"/>
      <x:c r="J193" s="22" t="str">
        <x:v>CX/100 | CX | CONTEUDO100 | FATOR100</x:v>
      </x:c>
      <x:c r="K193" s="22" t="str">
        <x:v>CAIXA</x:v>
      </x:c>
      <x:c r="L193" s="22" t="str">
        <x:v>PROCED</x:v>
      </x:c>
      <x:c r="M193" s="28" t="str">
        <x:f>"GTIN: 7898283814680"</x:f>
        <x:v>GTIN: 7898283814680</x:v>
      </x:c>
      <x:c r="N193" s="28" t="str">
        <x:f>"62160000"</x:f>
        <x:v>62160000</x:v>
      </x:c>
      <x:c r="O193" s="29" t="n">
        <x:v>6</x:v>
      </x:c>
      <x:c r="P193" s="29" t="n">
        <x:v>22.5</x:v>
      </x:c>
      <x:c r="Q193" s="28" t="str">
        <x:f>"560"</x:f>
        <x:v>560</x:v>
      </x:c>
      <x:c r="R193" s="28" t="str">
        <x:f>"LPE0004"</x:f>
        <x:v>LPE0004</x:v>
      </x:c>
      <x:c r="S193" s="22" t="str">
        <x:v>GTIN repetido em produtos distintos</x:v>
      </x:c>
      <x:c r="T193" s="22" t="str">
        <x:v>LUVA PROCEDIMENTO EM LATEX G COM PO - CAIXA - CX/100 | CX | CONTEUDO100 | FATOR100 - PROCED</x:v>
      </x:c>
      <x:c r="U193" s="27" t="str"/>
      <x:c r="V193" s="27" t="str"/>
    </x:row>
    <x:row r="194">
      <x:c r="A194" s="28" t="str">
        <x:f>"G-245"</x:f>
        <x:v>G-245</x:v>
      </x:c>
      <x:c r="B194" s="22" t="str">
        <x:v>PIPERACILINA TAZOBACTAM</x:v>
      </x:c>
      <x:c r="C194" s="22" t="str">
        <x:v>BAIXO</x:v>
      </x:c>
      <x:c r="D194" s="22" t="str">
        <x:v>REVISAR possível duplicidade</x:v>
      </x:c>
      <x:c r="E194" s="28" t="str">
        <x:f>"P+T0001"</x:f>
        <x:v>P+T0001</x:v>
      </x:c>
      <x:c r="F194" s="22" t="str">
        <x:v>PIPERACILINA + TAZOBACTAM 4G + 500MG - CX/10 - BIOCHIMICO</x:v>
      </x:c>
      <x:c r="G194" s="22" t="str">
        <x:v>PIPERACILINA + TAZOBACTAM +</x:v>
      </x:c>
      <x:c r="H194" s="22" t="str">
        <x:v>4G | 500MG</x:v>
      </x:c>
      <x:c r="I194" s="22" t="str">
        <x:v>4G</x:v>
      </x:c>
      <x:c r="J194" s="22" t="str">
        <x:v>CX/10 | CX | CONTEUDO10 | FATOR10</x:v>
      </x:c>
      <x:c r="K194" s="22" t="str">
        <x:v>CAIXA</x:v>
      </x:c>
      <x:c r="L194" s="22" t="str">
        <x:v>BIOCHIMICO</x:v>
      </x:c>
      <x:c r="M194" s="28" t="str">
        <x:f>"GTIN: 7897406119626"</x:f>
        <x:v>GTIN: 7897406119626</x:v>
      </x:c>
      <x:c r="N194" s="28" t="str">
        <x:f>"30041019"</x:f>
        <x:v>30041019</x:v>
      </x:c>
      <x:c r="O194" s="29" t="n">
        <x:v>10</x:v>
      </x:c>
      <x:c r="P194" s="29" t="n">
        <x:v>15.9</x:v>
      </x:c>
      <x:c r="Q194" s="28" t="str">
        <x:f>"644"</x:f>
        <x:v>644</x:v>
      </x:c>
      <x:c r="R194" s="28" t="str">
        <x:f>"P+T0001"</x:f>
        <x:v>P+T0001</x:v>
      </x:c>
      <x:c r="S194" s="22" t="str"/>
      <x:c r="T194" s="22" t="str">
        <x:v>PIPERACILINA + TAZOBACTAM + - 4G | 500MG - 4G - CAIXA - CX/10 | CX | CONTEUDO10 | FATOR10 - BIOCHIMICO</x:v>
      </x:c>
      <x:c r="U194" s="27" t="str"/>
      <x:c r="V194" s="27" t="str"/>
    </x:row>
    <x:row r="195">
      <x:c r="A195" s="28" t="str">
        <x:f>"G-245"</x:f>
        <x:v>G-245</x:v>
      </x:c>
      <x:c r="B195" s="22" t="str">
        <x:v>PIPERACILINA TAZOBACTAM</x:v>
      </x:c>
      <x:c r="C195" s="22" t="str">
        <x:v>BAIXO</x:v>
      </x:c>
      <x:c r="D195" s="22" t="str">
        <x:v>REVISAR possível duplicidade</x:v>
      </x:c>
      <x:c r="E195" s="28" t="str">
        <x:f>"P+T0005"</x:f>
        <x:v>P+T0005</x:v>
      </x:c>
      <x:c r="F195" s="22" t="str">
        <x:v>PIPERACILINA + TAZOBACTAM 4G + 500MG - CX/10 - EUROFARMA</x:v>
      </x:c>
      <x:c r="G195" s="22" t="str">
        <x:v>PIPERACILINA + TAZOBACTAM +</x:v>
      </x:c>
      <x:c r="H195" s="22" t="str">
        <x:v>4G | 500MG</x:v>
      </x:c>
      <x:c r="I195" s="22" t="str">
        <x:v>4G</x:v>
      </x:c>
      <x:c r="J195" s="22" t="str">
        <x:v>CX/10 | CX | CONTEUDO10 | FATOR10</x:v>
      </x:c>
      <x:c r="K195" s="22" t="str">
        <x:v>CAIXA</x:v>
      </x:c>
      <x:c r="L195" s="22" t="str">
        <x:v>EUROFARMA</x:v>
      </x:c>
      <x:c r="M195" s="28" t="str">
        <x:f>"GTIN: 7899498608354"</x:f>
        <x:v>GTIN: 7899498608354</x:v>
      </x:c>
      <x:c r="N195" s="28" t="str">
        <x:f>"30041019"</x:f>
        <x:v>30041019</x:v>
      </x:c>
      <x:c r="O195" s="29" t="n">
        <x:v>9</x:v>
      </x:c>
      <x:c r="P195" s="29" t="n">
        <x:v>13.5</x:v>
      </x:c>
      <x:c r="Q195" s="28" t="str">
        <x:f>"645"</x:f>
        <x:v>645</x:v>
      </x:c>
      <x:c r="R195" s="28" t="str">
        <x:f>"P+T0005"</x:f>
        <x:v>P+T0005</x:v>
      </x:c>
      <x:c r="S195" s="22" t="str">
        <x:v>GTIN repetido em produtos distintos</x:v>
      </x:c>
      <x:c r="T195" s="22" t="str">
        <x:v>PIPERACILINA + TAZOBACTAM + - 4G | 500MG - 4G - CAIXA - CX/10 | CX | CONTEUDO10 | FATOR10 - EUROFARMA</x:v>
      </x:c>
      <x:c r="U195" s="27" t="str"/>
      <x:c r="V195" s="27" t="str"/>
    </x:row>
    <x:row r="196">
      <x:c r="A196" s="28" t="str">
        <x:f>"G-245"</x:f>
        <x:v>G-245</x:v>
      </x:c>
      <x:c r="B196" s="22" t="str">
        <x:v>PIPERACILINA TAZOBACTAM</x:v>
      </x:c>
      <x:c r="C196" s="22" t="str">
        <x:v>BAIXO</x:v>
      </x:c>
      <x:c r="D196" s="22" t="str">
        <x:v>REVISAR possível duplicidade</x:v>
      </x:c>
      <x:c r="E196" s="28" t="str">
        <x:f>"P+T0004"</x:f>
        <x:v>P+T0004</x:v>
      </x:c>
      <x:c r="F196" s="22" t="str">
        <x:v>PIPERACILINA + TAZOBACTAM 4G + 500MG - CX/10 - UNIÃO QUÍMICA</x:v>
      </x:c>
      <x:c r="G196" s="22" t="str">
        <x:v>PIPERACILINA + TAZOBACTAM +</x:v>
      </x:c>
      <x:c r="H196" s="22" t="str">
        <x:v>4G | 500MG</x:v>
      </x:c>
      <x:c r="I196" s="22" t="str">
        <x:v>4G</x:v>
      </x:c>
      <x:c r="J196" s="22" t="str">
        <x:v>CX/10 | CX | CONTEUDO10 | FATOR10</x:v>
      </x:c>
      <x:c r="K196" s="22" t="str">
        <x:v>CAIXA</x:v>
      </x:c>
      <x:c r="L196" s="22" t="str">
        <x:v>UNIÃO QUÍMICA</x:v>
      </x:c>
      <x:c r="M196" s="28" t="str">
        <x:f>"GTIN: 7899498608354"</x:f>
        <x:v>GTIN: 7899498608354</x:v>
      </x:c>
      <x:c r="N196" s="28" t="str">
        <x:f>"30041019"</x:f>
        <x:v>30041019</x:v>
      </x:c>
      <x:c r="O196" s="29" t="n">
        <x:v>9</x:v>
      </x:c>
      <x:c r="P196" s="29" t="n">
        <x:v>13.5</x:v>
      </x:c>
      <x:c r="Q196" s="28" t="str">
        <x:f>"648"</x:f>
        <x:v>648</x:v>
      </x:c>
      <x:c r="R196" s="28" t="str">
        <x:f>"P+T0004"</x:f>
        <x:v>P+T0004</x:v>
      </x:c>
      <x:c r="S196" s="22" t="str">
        <x:v>GTIN repetido em produtos distintos</x:v>
      </x:c>
      <x:c r="T196" s="22" t="str">
        <x:v>PIPERACILINA + TAZOBACTAM + - 4G | 500MG - 4G - CAIXA - CX/10 | CX | CONTEUDO10 | FATOR10 - UNIÃO QUÍMICA</x:v>
      </x:c>
      <x:c r="U196" s="27" t="str"/>
      <x:c r="V196" s="27" t="str"/>
    </x:row>
    <x:row r="197">
      <x:c r="A197" s="28" t="str">
        <x:f>"G-245"</x:f>
        <x:v>G-245</x:v>
      </x:c>
      <x:c r="B197" s="22" t="str">
        <x:v>PIPERACILINA TAZOBACTAM</x:v>
      </x:c>
      <x:c r="C197" s="22" t="str">
        <x:v>BAIXO</x:v>
      </x:c>
      <x:c r="D197" s="22" t="str">
        <x:v>REVISAR possível duplicidade</x:v>
      </x:c>
      <x:c r="E197" s="28" t="str">
        <x:f>"P+T0031"</x:f>
        <x:v>P+T0031</x:v>
      </x:c>
      <x:c r="F197" s="22" t="str">
        <x:v>PIPERACILINA + TAZOBACTAM 4G + 500MG - CX/10 - VIATRIS</x:v>
      </x:c>
      <x:c r="G197" s="22" t="str">
        <x:v>PIPERACILINA + TAZOBACTAM +</x:v>
      </x:c>
      <x:c r="H197" s="22" t="str">
        <x:v>4G | 500MG</x:v>
      </x:c>
      <x:c r="I197" s="22" t="str">
        <x:v>4G</x:v>
      </x:c>
      <x:c r="J197" s="22" t="str">
        <x:v>CX/10 | CX | CONTEUDO10 | FATOR10</x:v>
      </x:c>
      <x:c r="K197" s="22" t="str">
        <x:v>CAIXA</x:v>
      </x:c>
      <x:c r="L197" s="22" t="str">
        <x:v>VIATRIS</x:v>
      </x:c>
      <x:c r="M197" s="28" t="str">
        <x:f>"GTIN: 7899498608354"</x:f>
        <x:v>GTIN: 7899498608354</x:v>
      </x:c>
      <x:c r="N197" s="28" t="str">
        <x:f>"30041019"</x:f>
        <x:v>30041019</x:v>
      </x:c>
      <x:c r="O197" s="29" t="n">
        <x:v>9</x:v>
      </x:c>
      <x:c r="P197" s="29" t="n">
        <x:v>13.5</x:v>
      </x:c>
      <x:c r="Q197" s="28" t="str">
        <x:f>"649 | 650 | 651 | 652"</x:f>
        <x:v>649 | 650 | 651 | 652</x:v>
      </x:c>
      <x:c r="R197" s="28" t="str">
        <x:f>"P+T0009 | P+T0030 | P+T0031 | P+T0006"</x:f>
        <x:v>P+T0009 | P+T0030 | P+T0031 | P+T0006</x:v>
      </x:c>
      <x:c r="S197" s="22" t="str">
        <x:v>varios codigos legados consolidados em um produto; GTIN repetido em produtos distintos; custo divergente entre lotes; preco de venda divergente entre lotes</x:v>
      </x:c>
      <x:c r="T197" s="22" t="str">
        <x:v>PIPERACILINA + TAZOBACTAM + - 4G | 500MG - 4G - CAIXA - CX/10 | CX | CONTEUDO10 | FATOR10 - VIATRIS</x:v>
      </x:c>
      <x:c r="U197" s="27" t="str"/>
      <x:c r="V197" s="27" t="str"/>
    </x:row>
    <x:row r="198">
      <x:c r="A198" s="28" t="str">
        <x:f>"G-291"</x:f>
        <x:v>G-291</x:v>
      </x:c>
      <x:c r="B198" s="22" t="str">
        <x:v>TENOXICAM</x:v>
      </x:c>
      <x:c r="C198" s="22" t="str">
        <x:v>BAIXO</x:v>
      </x:c>
      <x:c r="D198" s="22" t="str">
        <x:v>REVISAR possível duplicidade</x:v>
      </x:c>
      <x:c r="E198" s="28" t="str">
        <x:f>"T2-0010"</x:f>
        <x:v>T2-0010</x:v>
      </x:c>
      <x:c r="F198" s="22" t="str">
        <x:v>TENOXICAM 20MG/2ML - CX/50 - CRISTALIA</x:v>
      </x:c>
      <x:c r="G198" s="22" t="str">
        <x:v>TENOXICAM</x:v>
      </x:c>
      <x:c r="H198" s="22" t="str">
        <x:v>20MG/2ML | 20MG | 2ML</x:v>
      </x:c>
      <x:c r="I198" s="22" t="str"/>
      <x:c r="J198" s="22" t="str">
        <x:v>CX/50 | CX | CONTEUDO50 | FATOR50</x:v>
      </x:c>
      <x:c r="K198" s="22" t="str">
        <x:v>CAIXA</x:v>
      </x:c>
      <x:c r="L198" s="22" t="str">
        <x:v>CRISTALIA</x:v>
      </x:c>
      <x:c r="M198" s="28" t="str">
        <x:f>"GTIN: 7896676416206"</x:f>
        <x:v>GTIN: 7896676416206</x:v>
      </x:c>
      <x:c r="N198" s="28" t="str">
        <x:f>"30049073"</x:f>
        <x:v>30049073</x:v>
      </x:c>
      <x:c r="O198" s="29" t="n">
        <x:v>5</x:v>
      </x:c>
      <x:c r="P198" s="29" t="n">
        <x:v>6.9</x:v>
      </x:c>
      <x:c r="Q198" s="28" t="str">
        <x:f>"794"</x:f>
        <x:v>794</x:v>
      </x:c>
      <x:c r="R198" s="28" t="str">
        <x:f>"T2-0010"</x:f>
        <x:v>T2-0010</x:v>
      </x:c>
      <x:c r="S198" s="22" t="str"/>
      <x:c r="T198" s="22" t="str">
        <x:v>TENOXICAM - 20MG/2ML | 20MG | 2ML - CAIXA - CX/50 | CX | CONTEUDO50 | FATOR50 - CRISTALIA</x:v>
      </x:c>
      <x:c r="U198" s="27" t="str"/>
      <x:c r="V198" s="27" t="str"/>
    </x:row>
    <x:row r="199">
      <x:c r="A199" s="28" t="str">
        <x:f>"G-291"</x:f>
        <x:v>G-291</x:v>
      </x:c>
      <x:c r="B199" s="22" t="str">
        <x:v>TENOXICAM</x:v>
      </x:c>
      <x:c r="C199" s="22" t="str">
        <x:v>BAIXO</x:v>
      </x:c>
      <x:c r="D199" s="22" t="str">
        <x:v>REVISAR possível duplicidade</x:v>
      </x:c>
      <x:c r="E199" s="28" t="str">
        <x:f>"T2-0011"</x:f>
        <x:v>T2-0011</x:v>
      </x:c>
      <x:c r="F199" s="22" t="str">
        <x:v>TENOXICAM 20MG/2ML - CX/50 - UNIAO QUIMICA</x:v>
      </x:c>
      <x:c r="G199" s="22" t="str">
        <x:v>TENOXICAM</x:v>
      </x:c>
      <x:c r="H199" s="22" t="str">
        <x:v>20MG/2ML | 20MG | 2ML</x:v>
      </x:c>
      <x:c r="I199" s="22" t="str"/>
      <x:c r="J199" s="22" t="str">
        <x:v>CX/50 | CX | CONTEUDO50 | FATOR50</x:v>
      </x:c>
      <x:c r="K199" s="22" t="str">
        <x:v>CAIXA</x:v>
      </x:c>
      <x:c r="L199" s="22" t="str">
        <x:v>UNIAO QUIMICA</x:v>
      </x:c>
      <x:c r="M199" s="28" t="str">
        <x:f>"GTIN: 7896006219149"</x:f>
        <x:v>GTIN: 7896006219149</x:v>
      </x:c>
      <x:c r="N199" s="28" t="str">
        <x:f>"30049073"</x:f>
        <x:v>30049073</x:v>
      </x:c>
      <x:c r="O199" s="29" t="n">
        <x:v>4</x:v>
      </x:c>
      <x:c r="P199" s="29" t="n">
        <x:v>6.9</x:v>
      </x:c>
      <x:c r="Q199" s="28" t="str">
        <x:f>"795"</x:f>
        <x:v>795</x:v>
      </x:c>
      <x:c r="R199" s="28" t="str">
        <x:f>"T2-0011"</x:f>
        <x:v>T2-0011</x:v>
      </x:c>
      <x:c r="S199" s="22" t="str"/>
      <x:c r="T199" s="22" t="str">
        <x:v>TENOXICAM - 20MG/2ML | 20MG | 2ML - CAIXA - CX/50 | CX | CONTEUDO50 | FATOR50 - UNIAO QUIMICA</x:v>
      </x:c>
      <x:c r="U199" s="27" t="str"/>
      <x:c r="V199" s="27" t="str"/>
    </x:row>
    <x:row r="200">
      <x:c r="A200" s="28" t="str">
        <x:f>"G-291"</x:f>
        <x:v>G-291</x:v>
      </x:c>
      <x:c r="B200" s="22" t="str">
        <x:v>TENOXICAM</x:v>
      </x:c>
      <x:c r="C200" s="22" t="str">
        <x:v>BAIXO</x:v>
      </x:c>
      <x:c r="D200" s="22" t="str">
        <x:v>REVISAR possível duplicidade</x:v>
      </x:c>
      <x:c r="E200" s="28" t="str">
        <x:f>"T2C0002"</x:f>
        <x:v>T2C0002</x:v>
      </x:c>
      <x:c r="F200" s="22" t="str">
        <x:v>TENOXICAM 20MG/2ML CX/50 - EUROFARMA</x:v>
      </x:c>
      <x:c r="G200" s="22" t="str">
        <x:v>TENOXICAM</x:v>
      </x:c>
      <x:c r="H200" s="22" t="str">
        <x:v>20MG/2ML | 20MG | 2ML</x:v>
      </x:c>
      <x:c r="I200" s="22" t="str"/>
      <x:c r="J200" s="22" t="str">
        <x:v>CX/50 | CX | CONTEUDO50 | FATOR50</x:v>
      </x:c>
      <x:c r="K200" s="22" t="str">
        <x:v>CAIXA</x:v>
      </x:c>
      <x:c r="L200" s="22" t="str">
        <x:v>EUROFARMA</x:v>
      </x:c>
      <x:c r="M200" s="28" t="str">
        <x:f>"GTIN: 7891317009878"</x:f>
        <x:v>GTIN: 7891317009878</x:v>
      </x:c>
      <x:c r="N200" s="28" t="str">
        <x:f>"30049073"</x:f>
        <x:v>30049073</x:v>
      </x:c>
      <x:c r="O200" s="29" t="n">
        <x:v>4.5</x:v>
      </x:c>
      <x:c r="P200" s="29" t="n">
        <x:v>6.9</x:v>
      </x:c>
      <x:c r="Q200" s="28" t="str">
        <x:f>"789 | 790 | 791 | 792 | 796"</x:f>
        <x:v>789 | 790 | 791 | 792 | 796</x:v>
      </x:c>
      <x:c r="R200" s="28" t="str">
        <x:f>"T2C0002 | T2C0003 | T2C0005 | T2C0029 | T2C0004"</x:f>
        <x:v>T2C0002 | T2C0003 | T2C0005 | T2C0029 | T2C0004</x:v>
      </x:c>
      <x:c r="S200" s="22" t="str">
        <x:v>varios codigos legados consolidados em um produto; GTIN repetido em produtos distintos; preco de venda divergente entre lotes</x:v>
      </x:c>
      <x:c r="T200" s="22" t="str">
        <x:v>TENOXICAM - 20MG/2ML | 20MG | 2ML - CAIXA - CX/50 | CX | CONTEUDO50 | FATOR50 - EUROFARMA</x:v>
      </x:c>
      <x:c r="U200" s="27" t="str"/>
      <x:c r="V200" s="27" t="str"/>
    </x:row>
    <x:row r="201">
      <x:c r="A201" s="28" t="str">
        <x:f>"G-291"</x:f>
        <x:v>G-291</x:v>
      </x:c>
      <x:c r="B201" s="22" t="str">
        <x:v>TENOXICAM</x:v>
      </x:c>
      <x:c r="C201" s="22" t="str">
        <x:v>BAIXO</x:v>
      </x:c>
      <x:c r="D201" s="22" t="str">
        <x:v>REVISAR possível duplicidade</x:v>
      </x:c>
      <x:c r="E201" s="28" t="str">
        <x:f>"T2C0030"</x:f>
        <x:v>T2C0030</x:v>
      </x:c>
      <x:c r="F201" s="22" t="str">
        <x:v>TENOXICAM 20MG/2ML CX/50 CRISTALIA</x:v>
      </x:c>
      <x:c r="G201" s="22" t="str">
        <x:v>TENOXICAM</x:v>
      </x:c>
      <x:c r="H201" s="22" t="str">
        <x:v>20MG/2ML | 20MG | 2ML</x:v>
      </x:c>
      <x:c r="I201" s="22" t="str"/>
      <x:c r="J201" s="22" t="str">
        <x:v>CX/50 | CX | CONTEUDO50 | FATOR50</x:v>
      </x:c>
      <x:c r="K201" s="22" t="str">
        <x:v>CAIXA</x:v>
      </x:c>
      <x:c r="L201" s="22" t="str">
        <x:v>CRISTALIA</x:v>
      </x:c>
      <x:c r="M201" s="28" t="str">
        <x:f>"GTIN: 7891317009878"</x:f>
        <x:v>GTIN: 7891317009878</x:v>
      </x:c>
      <x:c r="N201" s="28" t="str">
        <x:f>"30049073"</x:f>
        <x:v>30049073</x:v>
      </x:c>
      <x:c r="O201" s="29" t="n">
        <x:v>4</x:v>
      </x:c>
      <x:c r="P201" s="29" t="n">
        <x:v>6.9</x:v>
      </x:c>
      <x:c r="Q201" s="28" t="str">
        <x:f>"793"</x:f>
        <x:v>793</x:v>
      </x:c>
      <x:c r="R201" s="28" t="str">
        <x:f>"T2C0030"</x:f>
        <x:v>T2C0030</x:v>
      </x:c>
      <x:c r="S201" s="22" t="str">
        <x:v>GTIN repetido em produtos distintos</x:v>
      </x:c>
      <x:c r="T201" s="22" t="str">
        <x:v>TENOXICAM - 20MG/2ML | 20MG | 2ML - CAIXA - CX/50 | CX | CONTEUDO50 | FATOR50 - CRISTALIA</x:v>
      </x:c>
      <x:c r="U201" s="27" t="str"/>
      <x:c r="V201" s="27" t="str"/>
    </x:row>
    <x:row r="202">
      <x:c r="A202" s="28" t="str">
        <x:f>"G-049"</x:f>
        <x:v>G-049</x:v>
      </x:c>
      <x:c r="B202" s="22" t="str">
        <x:v>CATETER DUPLO LUMEN 7FRX20CM</x:v>
      </x:c>
      <x:c r="C202" s="22" t="str">
        <x:v>BAIXO</x:v>
      </x:c>
      <x:c r="D202" s="22" t="str">
        <x:v>REVISAR possível duplicidade</x:v>
      </x:c>
      <x:c r="E202" s="28" t="str">
        <x:f>"CDL0011"</x:f>
        <x:v>CDL0011</x:v>
      </x:c>
      <x:c r="F202" s="22" t="str">
        <x:v>CATETER DUPLO LUMEN 7FRX20CM - ALIVE HEART</x:v>
      </x:c>
      <x:c r="G202" s="22" t="str">
        <x:v>CATETER DUPLO LUMEN 7FRX20CM</x:v>
      </x:c>
      <x:c r="H202" s="22" t="str"/>
      <x:c r="I202" s="22" t="str"/>
      <x:c r="J202" s="22" t="str">
        <x:v>UND</x:v>
      </x:c>
      <x:c r="K202" s="22" t="str">
        <x:v>UNIDADE</x:v>
      </x:c>
      <x:c r="L202" s="22" t="str">
        <x:v>ALIVE HEART</x:v>
      </x:c>
      <x:c r="M202" s="28" t="str"/>
      <x:c r="N202" s="28" t="str">
        <x:f>"90183921"</x:f>
        <x:v>90183921</x:v>
      </x:c>
      <x:c r="O202" s="29" t="n">
        <x:v>25</x:v>
      </x:c>
      <x:c r="P202" s="29" t="n">
        <x:v>65</x:v>
      </x:c>
      <x:c r="Q202" s="28" t="str">
        <x:f>"97"</x:f>
        <x:v>97</x:v>
      </x:c>
      <x:c r="R202" s="28" t="str">
        <x:f>"CDL0011"</x:f>
        <x:v>CDL0011</x:v>
      </x:c>
      <x:c r="S202" s="22" t="str">
        <x:v>GTIN ausente ou invalido</x:v>
      </x:c>
      <x:c r="T202" s="22" t="str">
        <x:v>CATETER DUPLO LUMEN 7FRX20CM - UNIDADE - UND - ALIVE HEART</x:v>
      </x:c>
      <x:c r="U202" s="27" t="str"/>
      <x:c r="V202" s="27" t="str"/>
    </x:row>
    <x:row r="203">
      <x:c r="A203" s="28" t="str">
        <x:f>"G-049"</x:f>
        <x:v>G-049</x:v>
      </x:c>
      <x:c r="B203" s="22" t="str">
        <x:v>CATETER DUPLO LUMEN 7FRX20CM</x:v>
      </x:c>
      <x:c r="C203" s="22" t="str">
        <x:v>BAIXO</x:v>
      </x:c>
      <x:c r="D203" s="22" t="str">
        <x:v>REVISAR possível duplicidade</x:v>
      </x:c>
      <x:c r="E203" s="28" t="str">
        <x:f>"CTL0004"</x:f>
        <x:v>CTL0004</x:v>
      </x:c>
      <x:c r="F203" s="22" t="str">
        <x:v>CATETER DUPLO LUMEN 7FRX20CM - BIOMEDICAL</x:v>
      </x:c>
      <x:c r="G203" s="22" t="str">
        <x:v>CATETER DUPLO LUMEN 7FRX20CM</x:v>
      </x:c>
      <x:c r="H203" s="22" t="str"/>
      <x:c r="I203" s="22" t="str"/>
      <x:c r="J203" s="22" t="str">
        <x:v>UND</x:v>
      </x:c>
      <x:c r="K203" s="22" t="str">
        <x:v>UNIDADE</x:v>
      </x:c>
      <x:c r="L203" s="22" t="str">
        <x:v>BIOMEDICAL</x:v>
      </x:c>
      <x:c r="M203" s="28" t="str"/>
      <x:c r="N203" s="28" t="str">
        <x:f>"90183929"</x:f>
        <x:v>90183929</x:v>
      </x:c>
      <x:c r="O203" s="29" t="n">
        <x:v>38</x:v>
      </x:c>
      <x:c r="P203" s="29" t="n">
        <x:v>57.81</x:v>
      </x:c>
      <x:c r="Q203" s="28" t="str">
        <x:f>"98"</x:f>
        <x:v>98</x:v>
      </x:c>
      <x:c r="R203" s="28" t="str">
        <x:f>"CTL0004"</x:f>
        <x:v>CTL0004</x:v>
      </x:c>
      <x:c r="S203" s="22" t="str">
        <x:v>GTIN ausente ou invalido</x:v>
      </x:c>
      <x:c r="T203" s="22" t="str">
        <x:v>CATETER DUPLO LUMEN 7FRX20CM - UNIDADE - UND - BIOMEDICAL</x:v>
      </x:c>
      <x:c r="U203" s="27" t="str"/>
      <x:c r="V203" s="27" t="str"/>
    </x:row>
    <x:row r="204">
      <x:c r="A204" s="28" t="str">
        <x:f>"G-049"</x:f>
        <x:v>G-049</x:v>
      </x:c>
      <x:c r="B204" s="22" t="str">
        <x:v>CATETER DUPLO LUMEN 7FRX20CM</x:v>
      </x:c>
      <x:c r="C204" s="22" t="str">
        <x:v>BAIXO</x:v>
      </x:c>
      <x:c r="D204" s="22" t="str">
        <x:v>REVISAR possível duplicidade</x:v>
      </x:c>
      <x:c r="E204" s="28" t="str">
        <x:f>"CDL0020"</x:f>
        <x:v>CDL0020</x:v>
      </x:c>
      <x:c r="F204" s="22" t="str">
        <x:v>CATETER DUPLO LUMEN 7FRX20CM - SAFECATH</x:v>
      </x:c>
      <x:c r="G204" s="22" t="str">
        <x:v>CATETER DUPLO LUMEN 7FRX20CM</x:v>
      </x:c>
      <x:c r="H204" s="22" t="str"/>
      <x:c r="I204" s="22" t="str"/>
      <x:c r="J204" s="22" t="str">
        <x:v>UND</x:v>
      </x:c>
      <x:c r="K204" s="22" t="str">
        <x:v>UNIDADE</x:v>
      </x:c>
      <x:c r="L204" s="22" t="str">
        <x:v>SAFECATH</x:v>
      </x:c>
      <x:c r="M204" s="28" t="str"/>
      <x:c r="N204" s="28" t="str">
        <x:f>"90183929"</x:f>
        <x:v>90183929</x:v>
      </x:c>
      <x:c r="O204" s="29" t="n">
        <x:v>1</x:v>
      </x:c>
      <x:c r="P204" s="29" t="n">
        <x:v>48.54</x:v>
      </x:c>
      <x:c r="Q204" s="28" t="str">
        <x:f>"104"</x:f>
        <x:v>104</x:v>
      </x:c>
      <x:c r="R204" s="28" t="str">
        <x:f>"CDL0020"</x:f>
        <x:v>CDL0020</x:v>
      </x:c>
      <x:c r="S204" s="22" t="str">
        <x:v>GTIN ausente ou invalido</x:v>
      </x:c>
      <x:c r="T204" s="22" t="str">
        <x:v>CATETER DUPLO LUMEN 7FRX20CM - UNIDADE - UND - SAFECATH</x:v>
      </x:c>
      <x:c r="U204" s="27" t="str"/>
      <x:c r="V204" s="27" t="str"/>
    </x:row>
    <x:row r="205">
      <x:c r="A205" s="28" t="str">
        <x:f>"G-097"</x:f>
        <x:v>G-097</x:v>
      </x:c>
      <x:c r="B205" s="22" t="str">
        <x:v>CLORIDRATO LIDOCAINA GELEIA BISNAGA</x:v>
      </x:c>
      <x:c r="C205" s="22" t="str">
        <x:v>BAIXO</x:v>
      </x:c>
      <x:c r="D205" s="22" t="str">
        <x:v>REVISAR possível duplicidade</x:v>
      </x:c>
      <x:c r="E205" s="28" t="str">
        <x:f>"CLG0021"</x:f>
        <x:v>CLG0021</x:v>
      </x:c>
      <x:c r="F205" s="22" t="str">
        <x:v>CLORIDRATO DE LIDOCAINA GELEIA 2% - 20MG - 1 BISNAGA 30G - CRISTALIA</x:v>
      </x:c>
      <x:c r="G205" s="22" t="str">
        <x:v>CLORIDRATO LIDOCAINA GELEIA % BISNAGA</x:v>
      </x:c>
      <x:c r="H205" s="22" t="str">
        <x:v>20MG | 30G</x:v>
      </x:c>
      <x:c r="I205" s="22" t="str">
        <x:v>30G</x:v>
      </x:c>
      <x:c r="J205" s="22" t="str">
        <x:v>UND</x:v>
      </x:c>
      <x:c r="K205" s="22" t="str">
        <x:v>UNIDADE</x:v>
      </x:c>
      <x:c r="L205" s="22" t="str">
        <x:v>CRISTALIA</x:v>
      </x:c>
      <x:c r="M205" s="28" t="str">
        <x:f>"GTIN: 7898123905653"</x:f>
        <x:v>GTIN: 7898123905653</x:v>
      </x:c>
      <x:c r="N205" s="28" t="str">
        <x:f>"30049043"</x:f>
        <x:v>30049043</x:v>
      </x:c>
      <x:c r="O205" s="29" t="n">
        <x:v>2.5</x:v>
      </x:c>
      <x:c r="P205" s="29" t="n">
        <x:v>4.28</x:v>
      </x:c>
      <x:c r="Q205" s="28" t="str">
        <x:f>"288"</x:f>
        <x:v>288</x:v>
      </x:c>
      <x:c r="R205" s="28" t="str">
        <x:f>"CLG0021"</x:f>
        <x:v>CLG0021</x:v>
      </x:c>
      <x:c r="S205" s="22" t="str">
        <x:v>GTIN repetido em produtos distintos</x:v>
      </x:c>
      <x:c r="T205" s="22" t="str">
        <x:v>CLORIDRATO LIDOCAINA GELEIA % BISNAGA - 20MG | 30G - 30G - UNIDADE - UND - CRISTALIA</x:v>
      </x:c>
      <x:c r="U205" s="27" t="str"/>
      <x:c r="V205" s="27" t="str"/>
    </x:row>
    <x:row r="206">
      <x:c r="A206" s="28" t="str">
        <x:f>"G-097"</x:f>
        <x:v>G-097</x:v>
      </x:c>
      <x:c r="B206" s="22" t="str">
        <x:v>CLORIDRATO LIDOCAINA GELEIA BISNAGA</x:v>
      </x:c>
      <x:c r="C206" s="22" t="str">
        <x:v>BAIXO</x:v>
      </x:c>
      <x:c r="D206" s="22" t="str">
        <x:v>REVISAR possível duplicidade</x:v>
      </x:c>
      <x:c r="E206" s="28" t="str">
        <x:f>"CLG0011"</x:f>
        <x:v>CLG0011</x:v>
      </x:c>
      <x:c r="F206" s="22" t="str">
        <x:v>CLORIDRATO DE LIDOCAINA GELEIA 2% - 20MG - 1 BISNAGA 30G - PHARLAB</x:v>
      </x:c>
      <x:c r="G206" s="22" t="str">
        <x:v>CLORIDRATO LIDOCAINA GELEIA % BISNAGA</x:v>
      </x:c>
      <x:c r="H206" s="22" t="str">
        <x:v>20MG | 30G</x:v>
      </x:c>
      <x:c r="I206" s="22" t="str">
        <x:v>30G</x:v>
      </x:c>
      <x:c r="J206" s="22" t="str">
        <x:v>UND</x:v>
      </x:c>
      <x:c r="K206" s="22" t="str">
        <x:v>UNIDADE</x:v>
      </x:c>
      <x:c r="L206" s="22" t="str">
        <x:v>PHARLAB</x:v>
      </x:c>
      <x:c r="M206" s="28" t="str">
        <x:f>"GTIN: 7898123905653"</x:f>
        <x:v>GTIN: 7898123905653</x:v>
      </x:c>
      <x:c r="N206" s="28" t="str">
        <x:f>"30049043"</x:f>
        <x:v>30049043</x:v>
      </x:c>
      <x:c r="O206" s="29" t="n">
        <x:v>2.5</x:v>
      </x:c>
      <x:c r="P206" s="29" t="n">
        <x:v>4.28</x:v>
      </x:c>
      <x:c r="Q206" s="28" t="str">
        <x:f>"289 | 290"</x:f>
        <x:v>289 | 290</x:v>
      </x:c>
      <x:c r="R206" s="28" t="str">
        <x:f>"CLG0011 | CLG0001"</x:f>
        <x:v>CLG0011 | CLG0001</x:v>
      </x:c>
      <x:c r="S206" s="22" t="str">
        <x:v>varios codigos legados consolidados em um produto; GTIN repetido em produtos distintos</x:v>
      </x:c>
      <x:c r="T206" s="22" t="str">
        <x:v>CLORIDRATO LIDOCAINA GELEIA % BISNAGA - 20MG | 30G - 30G - UNIDADE - UND - PHARLAB</x:v>
      </x:c>
      <x:c r="U206" s="27" t="str"/>
      <x:c r="V206" s="27" t="str"/>
    </x:row>
    <x:row r="207">
      <x:c r="A207" s="28" t="str">
        <x:f>"G-097"</x:f>
        <x:v>G-097</x:v>
      </x:c>
      <x:c r="B207" s="22" t="str">
        <x:v>CLORIDRATO LIDOCAINA GELEIA BISNAGA</x:v>
      </x:c>
      <x:c r="C207" s="22" t="str">
        <x:v>BAIXO</x:v>
      </x:c>
      <x:c r="D207" s="22" t="str">
        <x:v>REVISAR possível duplicidade</x:v>
      </x:c>
      <x:c r="E207" s="28" t="str">
        <x:f>"CLG0005"</x:f>
        <x:v>CLG0005</x:v>
      </x:c>
      <x:c r="F207" s="22" t="str">
        <x:v>CLORIDRATO DE LIDOCAINA GELEIA 2%/20MG - 1 BISNAGA 30G - NEOQUIMICA</x:v>
      </x:c>
      <x:c r="G207" s="22" t="str">
        <x:v>CLORIDRATO LIDOCAINA GELEIA % BISNAGA</x:v>
      </x:c>
      <x:c r="H207" s="22" t="str">
        <x:v>20MG | 30G</x:v>
      </x:c>
      <x:c r="I207" s="22" t="str">
        <x:v>30G</x:v>
      </x:c>
      <x:c r="J207" s="22" t="str">
        <x:v>UND</x:v>
      </x:c>
      <x:c r="K207" s="22" t="str">
        <x:v>UNIDADE</x:v>
      </x:c>
      <x:c r="L207" s="22" t="str">
        <x:v>NEOQUIMICA</x:v>
      </x:c>
      <x:c r="M207" s="28" t="str">
        <x:f>"GTIN: 7896714230160"</x:f>
        <x:v>GTIN: 7896714230160</x:v>
      </x:c>
      <x:c r="N207" s="28" t="str">
        <x:f>"30049043"</x:f>
        <x:v>30049043</x:v>
      </x:c>
      <x:c r="O207" s="29" t="n">
        <x:v>2.5</x:v>
      </x:c>
      <x:c r="P207" s="29" t="n">
        <x:v>4.28</x:v>
      </x:c>
      <x:c r="Q207" s="28" t="str">
        <x:f>"291 | 292 | 293 | 294 | 295 | 296 | 297 | 298 | 299 | 300"</x:f>
        <x:v>291 | 292 | 293 | 294 | 295 | 296 | 297 | 298 | 299 | 300</x:v>
      </x:c>
      <x:c r="R207" s="28" t="str">
        <x:f>"CLG0005 | CLG0018 | CLG0015 | CLG0017 | CLG0022 | CLG0003 | CLG0020 | CLG0002 | CLG0006 | CLG0004"</x:f>
        <x:v>CLG0005 | CLG0018 | CLG0015 | CLG0017 | CLG0022 | CLG0003 | CLG0020 | CLG0002 | CLG0006 | CLG0004</x:v>
      </x:c>
      <x:c r="S207" s="22" t="str">
        <x:v>varios codigos legados consolidados em um produto</x:v>
      </x:c>
      <x:c r="T207" s="22" t="str">
        <x:v>CLORIDRATO LIDOCAINA GELEIA % BISNAGA - 20MG | 30G - 30G - UNIDADE - UND - NEOQUIMICA</x:v>
      </x:c>
      <x:c r="U207" s="27" t="str"/>
      <x:c r="V207" s="27" t="str"/>
    </x:row>
    <x:row r="208">
      <x:c r="A208" s="28" t="str">
        <x:f>"G-096"</x:f>
        <x:v>G-096</x:v>
      </x:c>
      <x:c r="B208" s="22" t="str">
        <x:v>CLORIDRATO LIDOCAINA SV</x:v>
      </x:c>
      <x:c r="C208" s="22" t="str">
        <x:v>BAIXO</x:v>
      </x:c>
      <x:c r="D208" s="22" t="str">
        <x:v>REVISAR possível duplicidade</x:v>
      </x:c>
      <x:c r="E208" s="28" t="str">
        <x:f>"CL20013"</x:f>
        <x:v>CL20013</x:v>
      </x:c>
      <x:c r="F208" s="22" t="str">
        <x:v>CLORIDRATO DE LIDOCAINA 2% 20ML SV CX/25 - CRISTALIA</x:v>
      </x:c>
      <x:c r="G208" s="22" t="str">
        <x:v>CLORIDRATO LIDOCAINA % SV</x:v>
      </x:c>
      <x:c r="H208" s="22" t="str">
        <x:v>20ML</x:v>
      </x:c>
      <x:c r="I208" s="22" t="str"/>
      <x:c r="J208" s="22" t="str">
        <x:v>CX/25 | CX25</x:v>
      </x:c>
      <x:c r="K208" s="22" t="str">
        <x:v>CAIXA</x:v>
      </x:c>
      <x:c r="L208" s="22" t="str">
        <x:v>CRISTALIA</x:v>
      </x:c>
      <x:c r="M208" s="28" t="str">
        <x:f>"GTIN: 7898470686212"</x:f>
        <x:v>GTIN: 7898470686212</x:v>
      </x:c>
      <x:c r="N208" s="28" t="str">
        <x:f>"30049043"</x:f>
        <x:v>30049043</x:v>
      </x:c>
      <x:c r="O208" s="29" t="n">
        <x:v>5.3</x:v>
      </x:c>
      <x:c r="P208" s="29" t="n">
        <x:v>5.9</x:v>
      </x:c>
      <x:c r="Q208" s="28" t="str">
        <x:f>"275 | 276 | 277 | 278 | 279 | 280 | 281 | 282 | 283 | 284"</x:f>
        <x:v>275 | 276 | 277 | 278 | 279 | 280 | 281 | 282 | 283 | 284</x:v>
      </x:c>
      <x:c r="R208" s="28" t="str">
        <x:f>"CL20013 | CL20007 | CL20014 | CL20015 | CL20011 | CL20008 | CL20009 | CL20010 | CL20006 | CL20012"</x:f>
        <x:v>CL20013 | CL20007 | CL20014 | CL20015 | CL20011 | CL20008 | CL20009 | CL20010 | CL20006 | CL20012</x:v>
      </x:c>
      <x:c r="S208" s="22" t="str">
        <x:v>varios codigos legados consolidados em um produto; GTIN repetido em produtos distintos</x:v>
      </x:c>
      <x:c r="T208" s="22" t="str">
        <x:v>CLORIDRATO LIDOCAINA % SV - 20ML - CAIXA - CX/25 | CX25 - CRISTALIA</x:v>
      </x:c>
      <x:c r="U208" s="27" t="str"/>
      <x:c r="V208" s="27" t="str"/>
    </x:row>
    <x:row r="209">
      <x:c r="A209" s="28" t="str">
        <x:f>"G-096"</x:f>
        <x:v>G-096</x:v>
      </x:c>
      <x:c r="B209" s="22" t="str">
        <x:v>CLORIDRATO LIDOCAINA SV</x:v>
      </x:c>
      <x:c r="C209" s="22" t="str">
        <x:v>BAIXO</x:v>
      </x:c>
      <x:c r="D209" s="22" t="str">
        <x:v>REVISAR possível duplicidade</x:v>
      </x:c>
      <x:c r="E209" s="28" t="str">
        <x:f>"CL20004"</x:f>
        <x:v>CL20004</x:v>
      </x:c>
      <x:c r="F209" s="22" t="str">
        <x:v>CLORIDRATO DE LIDOCAINA 2% 20ML SV CX/25 - HYPOFARMA</x:v>
      </x:c>
      <x:c r="G209" s="22" t="str">
        <x:v>CLORIDRATO LIDOCAINA % SV</x:v>
      </x:c>
      <x:c r="H209" s="22" t="str">
        <x:v>20ML</x:v>
      </x:c>
      <x:c r="I209" s="22" t="str"/>
      <x:c r="J209" s="22" t="str">
        <x:v>CX/25 | CX25</x:v>
      </x:c>
      <x:c r="K209" s="22" t="str">
        <x:v>CAIXA</x:v>
      </x:c>
      <x:c r="L209" s="22" t="str">
        <x:v>HYPOFARMA</x:v>
      </x:c>
      <x:c r="M209" s="28" t="str">
        <x:f>"GTIN: 7898470686212"</x:f>
        <x:v>GTIN: 7898470686212</x:v>
      </x:c>
      <x:c r="N209" s="28" t="str">
        <x:f>"30049043"</x:f>
        <x:v>30049043</x:v>
      </x:c>
      <x:c r="O209" s="29" t="n">
        <x:v>5.3</x:v>
      </x:c>
      <x:c r="P209" s="29" t="n">
        <x:v>5.9</x:v>
      </x:c>
      <x:c r="Q209" s="28" t="str">
        <x:f>"285 | 286 | 287"</x:f>
        <x:v>285 | 286 | 287</x:v>
      </x:c>
      <x:c r="R209" s="28" t="str">
        <x:f>"CL20003 | CL20004 | CL20005"</x:f>
        <x:v>CL20003 | CL20004 | CL20005</x:v>
      </x:c>
      <x:c r="S209" s="22" t="str">
        <x:v>varios codigos legados consolidados em um produto; GTIN repetido em produtos distintos</x:v>
      </x:c>
      <x:c r="T209" s="22" t="str">
        <x:v>CLORIDRATO LIDOCAINA % SV - 20ML - CAIXA - CX/25 | CX25 - HYPOFARMA</x:v>
      </x:c>
      <x:c r="U209" s="27" t="str"/>
      <x:c r="V209" s="27" t="str"/>
    </x:row>
    <x:row r="210">
      <x:c r="A210" s="28" t="str">
        <x:f>"G-096"</x:f>
        <x:v>G-096</x:v>
      </x:c>
      <x:c r="B210" s="22" t="str">
        <x:v>CLORIDRATO LIDOCAINA SV</x:v>
      </x:c>
      <x:c r="C210" s="22" t="str">
        <x:v>BAIXO</x:v>
      </x:c>
      <x:c r="D210" s="22" t="str">
        <x:v>REVISAR possível duplicidade</x:v>
      </x:c>
      <x:c r="E210" s="28" t="str">
        <x:f>"CL20001"</x:f>
        <x:v>CL20001</x:v>
      </x:c>
      <x:c r="F210" s="22" t="str">
        <x:v>CLORIDRATO LIDOCAINA 2% 20ML SV CX/25 - HYPOFARMA</x:v>
      </x:c>
      <x:c r="G210" s="22" t="str">
        <x:v>CLORIDRATO LIDOCAINA % SV</x:v>
      </x:c>
      <x:c r="H210" s="22" t="str">
        <x:v>20ML</x:v>
      </x:c>
      <x:c r="I210" s="22" t="str"/>
      <x:c r="J210" s="22" t="str">
        <x:v>CX/25 | CX25</x:v>
      </x:c>
      <x:c r="K210" s="22" t="str">
        <x:v>CAIXA</x:v>
      </x:c>
      <x:c r="L210" s="22" t="str">
        <x:v>HYPOFARMA</x:v>
      </x:c>
      <x:c r="M210" s="28" t="str">
        <x:f>"GTIN: 7898470686212"</x:f>
        <x:v>GTIN: 7898470686212</x:v>
      </x:c>
      <x:c r="N210" s="28" t="str">
        <x:f>"30049043"</x:f>
        <x:v>30049043</x:v>
      </x:c>
      <x:c r="O210" s="29" t="n">
        <x:v>5.3</x:v>
      </x:c>
      <x:c r="P210" s="29" t="n">
        <x:v>5.9</x:v>
      </x:c>
      <x:c r="Q210" s="28" t="str">
        <x:f>"326 | 327"</x:f>
        <x:v>326 | 327</x:v>
      </x:c>
      <x:c r="R210" s="28" t="str">
        <x:f>"L120003 | CL20001"</x:f>
        <x:v>L120003 | CL20001</x:v>
      </x:c>
      <x:c r="S210" s="22" t="str">
        <x:v>varios codigos legados consolidados em um produto; GTIN repetido em produtos distintos; marca divergente entre registros consolidados</x:v>
      </x:c>
      <x:c r="T210" s="22" t="str">
        <x:v>CLORIDRATO LIDOCAINA % SV - 20ML - CAIXA - CX/25 | CX25 - HYPOFARMA</x:v>
      </x:c>
      <x:c r="U210" s="27" t="str"/>
      <x:c r="V210" s="27" t="str"/>
    </x:row>
    <x:row r="211">
      <x:c r="A211" s="28" t="str">
        <x:f>"G-211"</x:f>
        <x:v>G-211</x:v>
      </x:c>
      <x:c r="B211" s="22" t="str">
        <x:v>LUVA NITRILICA PROCEDIMENTO G PO NAO ESTERIL</x:v>
      </x:c>
      <x:c r="C211" s="22" t="str">
        <x:v>BAIXO</x:v>
      </x:c>
      <x:c r="D211" s="22" t="str">
        <x:v>REVISAR possível duplicidade</x:v>
      </x:c>
      <x:c r="E211" s="28" t="str">
        <x:f>"LNP0004"</x:f>
        <x:v>LNP0004</x:v>
      </x:c>
      <x:c r="F211" s="22" t="str">
        <x:v>LUVA NITRÍLICA P/ PROCEDIMENTO G S/PÓ NÃO ESTÉRIL - CX/100 - DESCARPACK</x:v>
      </x:c>
      <x:c r="G211" s="22" t="str">
        <x:v>LUVA NITRILICA PROCEDIMENTO G PO NAO ESTERIL</x:v>
      </x:c>
      <x:c r="H211" s="22" t="str"/>
      <x:c r="I211" s="22" t="str"/>
      <x:c r="J211" s="22" t="str">
        <x:v>CX/100 | CX | CONTEUDO100 | FATOR100</x:v>
      </x:c>
      <x:c r="K211" s="22" t="str">
        <x:v>CAIXA</x:v>
      </x:c>
      <x:c r="L211" s="22" t="str">
        <x:v>DESCARPACK</x:v>
      </x:c>
      <x:c r="M211" s="28" t="str">
        <x:f>"GTIN: 7898733213001"</x:f>
        <x:v>GTIN: 7898733213001</x:v>
      </x:c>
      <x:c r="N211" s="28" t="str">
        <x:f>"40151900"</x:f>
        <x:v>40151900</x:v>
      </x:c>
      <x:c r="O211" s="29" t="n">
        <x:v>9</x:v>
      </x:c>
      <x:c r="P211" s="29" t="n">
        <x:v>22.5</x:v>
      </x:c>
      <x:c r="Q211" s="28" t="str">
        <x:f>"572"</x:f>
        <x:v>572</x:v>
      </x:c>
      <x:c r="R211" s="28" t="str">
        <x:f>"LNP0004"</x:f>
        <x:v>LNP0004</x:v>
      </x:c>
      <x:c r="S211" s="22" t="str">
        <x:v>GTIN repetido em produtos distintos</x:v>
      </x:c>
      <x:c r="T211" s="22" t="str">
        <x:v>LUVA NITRILICA PROCEDIMENTO G PO NAO ESTERIL - CAIXA - CX/100 | CX | CONTEUDO100 | FATOR100 - DESCARPACK</x:v>
      </x:c>
      <x:c r="U211" s="27" t="str"/>
      <x:c r="V211" s="27" t="str"/>
    </x:row>
    <x:row r="212">
      <x:c r="A212" s="28" t="str">
        <x:f>"G-211"</x:f>
        <x:v>G-211</x:v>
      </x:c>
      <x:c r="B212" s="22" t="str">
        <x:v>LUVA NITRILICA PROCEDIMENTO G PO NAO ESTERIL</x:v>
      </x:c>
      <x:c r="C212" s="22" t="str">
        <x:v>BAIXO</x:v>
      </x:c>
      <x:c r="D212" s="22" t="str">
        <x:v>REVISAR possível duplicidade</x:v>
      </x:c>
      <x:c r="E212" s="28" t="str">
        <x:f>"LNP0001"</x:f>
        <x:v>LNP0001</x:v>
      </x:c>
      <x:c r="F212" s="22" t="str">
        <x:v>LUVA NITRÍLICA P/ PROCEDIMENTO G S/PÓ NÃO ESTÉRIL - CX/100 - MEDIX</x:v>
      </x:c>
      <x:c r="G212" s="22" t="str">
        <x:v>LUVA NITRILICA PROCEDIMENTO G PO NAO ESTERIL</x:v>
      </x:c>
      <x:c r="H212" s="22" t="str"/>
      <x:c r="I212" s="22" t="str"/>
      <x:c r="J212" s="22" t="str">
        <x:v>CX/100 | CX | CONTEUDO100 | FATOR100</x:v>
      </x:c>
      <x:c r="K212" s="22" t="str">
        <x:v>CAIXA</x:v>
      </x:c>
      <x:c r="L212" s="22" t="str">
        <x:v>MEDIX</x:v>
      </x:c>
      <x:c r="M212" s="28" t="str">
        <x:f>"GTIN: 7898733213001"</x:f>
        <x:v>GTIN: 7898733213001</x:v>
      </x:c>
      <x:c r="N212" s="28" t="str">
        <x:f>"40151900"</x:f>
        <x:v>40151900</x:v>
      </x:c>
      <x:c r="O212" s="29" t="n">
        <x:v>9</x:v>
      </x:c>
      <x:c r="P212" s="29" t="n">
        <x:v>22.5</x:v>
      </x:c>
      <x:c r="Q212" s="28" t="str">
        <x:f>"573"</x:f>
        <x:v>573</x:v>
      </x:c>
      <x:c r="R212" s="28" t="str">
        <x:f>"LNP0001"</x:f>
        <x:v>LNP0001</x:v>
      </x:c>
      <x:c r="S212" s="22" t="str">
        <x:v>GTIN repetido em produtos distintos</x:v>
      </x:c>
      <x:c r="T212" s="22" t="str">
        <x:v>LUVA NITRILICA PROCEDIMENTO G PO NAO ESTERIL - CAIXA - CX/100 | CX | CONTEUDO100 | FATOR100 - MEDIX</x:v>
      </x:c>
      <x:c r="U212" s="27" t="str"/>
      <x:c r="V212" s="27" t="str"/>
    </x:row>
    <x:row r="213">
      <x:c r="A213" s="28" t="str">
        <x:f>"G-211"</x:f>
        <x:v>G-211</x:v>
      </x:c>
      <x:c r="B213" s="22" t="str">
        <x:v>LUVA NITRILICA PROCEDIMENTO G PO NAO ESTERIL</x:v>
      </x:c>
      <x:c r="C213" s="22" t="str">
        <x:v>BAIXO</x:v>
      </x:c>
      <x:c r="D213" s="22" t="str">
        <x:v>REVISAR possível duplicidade</x:v>
      </x:c>
      <x:c r="E213" s="28" t="str">
        <x:f>"LNP0005"</x:f>
        <x:v>LNP0005</x:v>
      </x:c>
      <x:c r="F213" s="22" t="str">
        <x:v>LUVA NITRÍLICA P/ PROCEDIMENTO G S/PÓ NÃO ESTÉRIL - CX/100 - ZELARA</x:v>
      </x:c>
      <x:c r="G213" s="22" t="str">
        <x:v>LUVA NITRILICA PROCEDIMENTO G PO NAO ESTERIL</x:v>
      </x:c>
      <x:c r="H213" s="22" t="str"/>
      <x:c r="I213" s="22" t="str"/>
      <x:c r="J213" s="22" t="str">
        <x:v>CX/100 | CX | CONTEUDO100 | FATOR100</x:v>
      </x:c>
      <x:c r="K213" s="22" t="str">
        <x:v>CAIXA</x:v>
      </x:c>
      <x:c r="L213" s="22" t="str">
        <x:v>ZELARA</x:v>
      </x:c>
      <x:c r="M213" s="28" t="str">
        <x:f>"GTIN: 7898733213001"</x:f>
        <x:v>GTIN: 7898733213001</x:v>
      </x:c>
      <x:c r="N213" s="28" t="str">
        <x:f>"40151900"</x:f>
        <x:v>40151900</x:v>
      </x:c>
      <x:c r="O213" s="29" t="n">
        <x:v>7</x:v>
      </x:c>
      <x:c r="P213" s="29" t="n">
        <x:v>22.5</x:v>
      </x:c>
      <x:c r="Q213" s="28" t="str">
        <x:f>"574"</x:f>
        <x:v>574</x:v>
      </x:c>
      <x:c r="R213" s="28" t="str">
        <x:f>"LNP0005"</x:f>
        <x:v>LNP0005</x:v>
      </x:c>
      <x:c r="S213" s="22" t="str">
        <x:v>GTIN repetido em produtos distintos</x:v>
      </x:c>
      <x:c r="T213" s="22" t="str">
        <x:v>LUVA NITRILICA PROCEDIMENTO G PO NAO ESTERIL - CAIXA - CX/100 | CX | CONTEUDO100 | FATOR100 - ZELARA</x:v>
      </x:c>
      <x:c r="U213" s="27" t="str"/>
      <x:c r="V213" s="27" t="str"/>
    </x:row>
    <x:row r="214">
      <x:c r="A214" s="28" t="str">
        <x:f>"G-286"</x:f>
        <x:v>G-286</x:v>
      </x:c>
      <x:c r="B214" s="22" t="str">
        <x:v>SULFATO NEOMICINA BACITRACINA ZINCICA</x:v>
      </x:c>
      <x:c r="C214" s="22" t="str">
        <x:v>BAIXO</x:v>
      </x:c>
      <x:c r="D214" s="22" t="str">
        <x:v>REVISAR possível duplicidade</x:v>
      </x:c>
      <x:c r="E214" s="28" t="str">
        <x:f>"SN+0004"</x:f>
        <x:v>SN+0004</x:v>
      </x:c>
      <x:c r="F214" s="22" t="str">
        <x:v>SULFATO DE NEOMICINA + BACITRACINA ZINCICA 15G - BELFAR</x:v>
      </x:c>
      <x:c r="G214" s="22" t="str">
        <x:v>SULFATO NEOMICINA + BACITRACINA ZINCICA</x:v>
      </x:c>
      <x:c r="H214" s="22" t="str">
        <x:v>15G</x:v>
      </x:c>
      <x:c r="I214" s="22" t="str">
        <x:v>15G</x:v>
      </x:c>
      <x:c r="J214" s="22" t="str">
        <x:v>UND</x:v>
      </x:c>
      <x:c r="K214" s="22" t="str">
        <x:v>UNIDADE</x:v>
      </x:c>
      <x:c r="L214" s="22" t="str">
        <x:v>BELFAR</x:v>
      </x:c>
      <x:c r="M214" s="28" t="str">
        <x:f>"GTIN: 789620009142"</x:f>
        <x:v>GTIN: 789620009142</x:v>
      </x:c>
      <x:c r="N214" s="28" t="str">
        <x:f>"30042069"</x:f>
        <x:v>30042069</x:v>
      </x:c>
      <x:c r="O214" s="29" t="n">
        <x:v>0</x:v>
      </x:c>
      <x:c r="P214" s="29" t="n">
        <x:v>4.76</x:v>
      </x:c>
      <x:c r="Q214" s="28" t="str">
        <x:f>"770"</x:f>
        <x:v>770</x:v>
      </x:c>
      <x:c r="R214" s="28" t="str">
        <x:f>"SN+0004"</x:f>
        <x:v>SN+0004</x:v>
      </x:c>
      <x:c r="S214" s="22" t="str"/>
      <x:c r="T214" s="22" t="str">
        <x:v>SULFATO NEOMICINA + BACITRACINA ZINCICA - 15G - UNIDADE - UND - BELFAR</x:v>
      </x:c>
      <x:c r="U214" s="27" t="str"/>
      <x:c r="V214" s="27" t="str"/>
    </x:row>
    <x:row r="215">
      <x:c r="A215" s="28" t="str">
        <x:f>"G-286"</x:f>
        <x:v>G-286</x:v>
      </x:c>
      <x:c r="B215" s="22" t="str">
        <x:v>SULFATO NEOMICINA BACITRACINA ZINCICA</x:v>
      </x:c>
      <x:c r="C215" s="22" t="str">
        <x:v>BAIXO</x:v>
      </x:c>
      <x:c r="D215" s="22" t="str">
        <x:v>REVISAR possível duplicidade</x:v>
      </x:c>
      <x:c r="E215" s="28" t="str">
        <x:f>"SN+0003"</x:f>
        <x:v>SN+0003</x:v>
      </x:c>
      <x:c r="F215" s="22" t="str">
        <x:v>SULFATO DE NEOMICINA + BACITRACINA ZINCICA 15G - EMS</x:v>
      </x:c>
      <x:c r="G215" s="22" t="str">
        <x:v>SULFATO NEOMICINA + BACITRACINA ZINCICA</x:v>
      </x:c>
      <x:c r="H215" s="22" t="str">
        <x:v>15G</x:v>
      </x:c>
      <x:c r="I215" s="22" t="str">
        <x:v>15G</x:v>
      </x:c>
      <x:c r="J215" s="22" t="str">
        <x:v>UND</x:v>
      </x:c>
      <x:c r="K215" s="22" t="str">
        <x:v>UNIDADE</x:v>
      </x:c>
      <x:c r="L215" s="22" t="str">
        <x:v>EMS</x:v>
      </x:c>
      <x:c r="M215" s="28" t="str">
        <x:f>"GTIN: 7896004715902"</x:f>
        <x:v>GTIN: 7896004715902</x:v>
      </x:c>
      <x:c r="N215" s="28" t="str">
        <x:f>"30042069"</x:f>
        <x:v>30042069</x:v>
      </x:c>
      <x:c r="O215" s="29" t="n">
        <x:v>0</x:v>
      </x:c>
      <x:c r="P215" s="29" t="n">
        <x:v>4.76</x:v>
      </x:c>
      <x:c r="Q215" s="28" t="str">
        <x:f>"771 | 772 | 773"</x:f>
        <x:v>771 | 772 | 773</x:v>
      </x:c>
      <x:c r="R215" s="28" t="str">
        <x:f>"SN+0003 | SN+0005 | SN+0006"</x:f>
        <x:v>SN+0003 | SN+0005 | SN+0006</x:v>
      </x:c>
      <x:c r="S215" s="22" t="str">
        <x:v>varios codigos legados consolidados em um produto; GTIN repetido em produtos distintos</x:v>
      </x:c>
      <x:c r="T215" s="22" t="str">
        <x:v>SULFATO NEOMICINA + BACITRACINA ZINCICA - 15G - UNIDADE - UND - EMS</x:v>
      </x:c>
      <x:c r="U215" s="27" t="str"/>
      <x:c r="V215" s="27" t="str"/>
    </x:row>
    <x:row r="216">
      <x:c r="A216" s="28" t="str">
        <x:f>"G-286"</x:f>
        <x:v>G-286</x:v>
      </x:c>
      <x:c r="B216" s="22" t="str">
        <x:v>SULFATO NEOMICINA BACITRACINA ZINCICA</x:v>
      </x:c>
      <x:c r="C216" s="22" t="str">
        <x:v>BAIXO</x:v>
      </x:c>
      <x:c r="D216" s="22" t="str">
        <x:v>REVISAR possível duplicidade</x:v>
      </x:c>
      <x:c r="E216" s="28" t="str">
        <x:f>"SN+0008"</x:f>
        <x:v>SN+0008</x:v>
      </x:c>
      <x:c r="F216" s="22" t="str">
        <x:v>SULFATO DE NEOMICINA + BACITRACINA ZINCICA 15G EMS</x:v>
      </x:c>
      <x:c r="G216" s="22" t="str">
        <x:v>SULFATO NEOMICINA + BACITRACINA ZINCICA</x:v>
      </x:c>
      <x:c r="H216" s="22" t="str">
        <x:v>15G</x:v>
      </x:c>
      <x:c r="I216" s="22" t="str">
        <x:v>15G</x:v>
      </x:c>
      <x:c r="J216" s="22" t="str">
        <x:v>UND</x:v>
      </x:c>
      <x:c r="K216" s="22" t="str">
        <x:v>UNIDADE</x:v>
      </x:c>
      <x:c r="L216" s="22" t="str">
        <x:v>EMS</x:v>
      </x:c>
      <x:c r="M216" s="28" t="str">
        <x:f>"GTIN: 7896004715902"</x:f>
        <x:v>GTIN: 7896004715902</x:v>
      </x:c>
      <x:c r="N216" s="28" t="str">
        <x:f>"30042069"</x:f>
        <x:v>30042069</x:v>
      </x:c>
      <x:c r="O216" s="29" t="n">
        <x:v>0</x:v>
      </x:c>
      <x:c r="P216" s="29" t="n">
        <x:v>4.76</x:v>
      </x:c>
      <x:c r="Q216" s="28" t="str">
        <x:f>"774 | 775"</x:f>
        <x:v>774 | 775</x:v>
      </x:c>
      <x:c r="R216" s="28" t="str">
        <x:f>"SN+0008 | SN+0007"</x:f>
        <x:v>SN+0008 | SN+0007</x:v>
      </x:c>
      <x:c r="S216" s="22" t="str">
        <x:v>varios codigos legados consolidados em um produto; GTIN repetido em produtos distintos</x:v>
      </x:c>
      <x:c r="T216" s="22" t="str">
        <x:v>SULFATO NEOMICINA + BACITRACINA ZINCICA - 15G - UNIDADE - UND - EMS</x:v>
      </x:c>
      <x:c r="U216" s="27" t="str"/>
      <x:c r="V216" s="27" t="str"/>
    </x:row>
    <x:row r="217">
      <x:c r="A217" s="28" t="str">
        <x:f>"G-032"</x:f>
        <x:v>G-032</x:v>
      </x:c>
      <x:c r="B217" s="22" t="str">
        <x:v>AZITROMICINA DI HIDRATADA AZICIN</x:v>
      </x:c>
      <x:c r="C217" s="22" t="str">
        <x:v>BAIXO</x:v>
      </x:c>
      <x:c r="D217" s="22" t="str">
        <x:v>REVISAR possível duplicidade</x:v>
      </x:c>
      <x:c r="E217" s="28" t="str">
        <x:f>"ADA0001"</x:f>
        <x:v>ADA0001</x:v>
      </x:c>
      <x:c r="F217" s="22" t="str">
        <x:v>AZITROMICINA DI-HIDRATADA AZICIN 500MG CX/10 - CRISTÁLIA</x:v>
      </x:c>
      <x:c r="G217" s="22" t="str">
        <x:v>AZITROMICINA DI HIDRATADA AZICIN</x:v>
      </x:c>
      <x:c r="H217" s="22" t="str">
        <x:v>500MG</x:v>
      </x:c>
      <x:c r="I217" s="22" t="str"/>
      <x:c r="J217" s="22" t="str">
        <x:v>CX/10 | CX | CONTEUDO10 | FATOR10</x:v>
      </x:c>
      <x:c r="K217" s="22" t="str">
        <x:v>CAIXA</x:v>
      </x:c>
      <x:c r="L217" s="22" t="str">
        <x:v>CRISTÁLIA</x:v>
      </x:c>
      <x:c r="M217" s="28" t="str">
        <x:f>"GTIN: 7898216365708"</x:f>
        <x:v>GTIN: 7898216365708</x:v>
      </x:c>
      <x:c r="N217" s="28" t="str">
        <x:f>"30042029"</x:f>
        <x:v>30042029</x:v>
      </x:c>
      <x:c r="O217" s="29" t="n">
        <x:v>8</x:v>
      </x:c>
      <x:c r="P217" s="29" t="n">
        <x:v>12.5</x:v>
      </x:c>
      <x:c r="Q217" s="28" t="str">
        <x:f>"73 | 74"</x:f>
        <x:v>73 | 74</x:v>
      </x:c>
      <x:c r="R217" s="28" t="str">
        <x:f>"ADA0001 | ADA0002"</x:f>
        <x:v>ADA0001 | ADA0002</x:v>
      </x:c>
      <x:c r="S217" s="22" t="str">
        <x:v>varios codigos legados consolidados em um produto; GTIN repetido em produtos distintos</x:v>
      </x:c>
      <x:c r="T217" s="22" t="str">
        <x:v>AZITROMICINA DI HIDRATADA AZICIN - 500MG - CAIXA - CX/10 | CX | CONTEUDO10 | FATOR10 - CRISTÁLIA</x:v>
      </x:c>
      <x:c r="U217" s="27" t="str"/>
      <x:c r="V217" s="27" t="str"/>
    </x:row>
    <x:row r="218">
      <x:c r="A218" s="28" t="str">
        <x:f>"G-032"</x:f>
        <x:v>G-032</x:v>
      </x:c>
      <x:c r="B218" s="22" t="str">
        <x:v>AZITROMICINA DI HIDRATADA AZICIN</x:v>
      </x:c>
      <x:c r="C218" s="22" t="str">
        <x:v>BAIXO</x:v>
      </x:c>
      <x:c r="D218" s="22" t="str">
        <x:v>REVISAR possível duplicidade</x:v>
      </x:c>
      <x:c r="E218" s="28" t="str">
        <x:f>"ADA0003"</x:f>
        <x:v>ADA0003</x:v>
      </x:c>
      <x:c r="F218" s="22" t="str">
        <x:v>AZITROMICINA DI-HIDRATADA AZICIN 500MG CX/10 - GLOBO</x:v>
      </x:c>
      <x:c r="G218" s="22" t="str">
        <x:v>AZITROMICINA DI HIDRATADA AZICIN</x:v>
      </x:c>
      <x:c r="H218" s="22" t="str">
        <x:v>500MG</x:v>
      </x:c>
      <x:c r="I218" s="22" t="str"/>
      <x:c r="J218" s="22" t="str">
        <x:v>CX/10 | CX | CONTEUDO10 | FATOR10</x:v>
      </x:c>
      <x:c r="K218" s="22" t="str">
        <x:v>CAIXA</x:v>
      </x:c>
      <x:c r="L218" s="22" t="str">
        <x:v>GLOBO</x:v>
      </x:c>
      <x:c r="M218" s="28" t="str">
        <x:f>"GTIN: 7898216365708"</x:f>
        <x:v>GTIN: 7898216365708</x:v>
      </x:c>
      <x:c r="N218" s="28" t="str">
        <x:f>"30042029"</x:f>
        <x:v>30042029</x:v>
      </x:c>
      <x:c r="O218" s="29" t="n">
        <x:v>8</x:v>
      </x:c>
      <x:c r="P218" s="29" t="n">
        <x:v>12.5</x:v>
      </x:c>
      <x:c r="Q218" s="28" t="str">
        <x:f>"75"</x:f>
        <x:v>75</x:v>
      </x:c>
      <x:c r="R218" s="28" t="str">
        <x:f>"ADA0003"</x:f>
        <x:v>ADA0003</x:v>
      </x:c>
      <x:c r="S218" s="22" t="str">
        <x:v>GTIN repetido em produtos distintos</x:v>
      </x:c>
      <x:c r="T218" s="22" t="str">
        <x:v>AZITROMICINA DI HIDRATADA AZICIN - 500MG - CAIXA - CX/10 | CX | CONTEUDO10 | FATOR10 - GLOBO</x:v>
      </x:c>
      <x:c r="U218" s="27" t="str"/>
      <x:c r="V218" s="27" t="str"/>
    </x:row>
    <x:row r="219">
      <x:c r="A219" s="28" t="str">
        <x:f>"G-035"</x:f>
        <x:v>G-035</x:v>
      </x:c>
      <x:c r="B219" s="22" t="str">
        <x:v>BROMETO ROCURONIO</x:v>
      </x:c>
      <x:c r="C219" s="22" t="str">
        <x:v>BAIXO</x:v>
      </x:c>
      <x:c r="D219" s="22" t="str">
        <x:v>REVISAR possível duplicidade</x:v>
      </x:c>
      <x:c r="E219" s="28" t="str">
        <x:f>"BR10002"</x:f>
        <x:v>BR10002</x:v>
      </x:c>
      <x:c r="F219" s="22" t="str">
        <x:v>BROMETO DE ROCURONIO 10MG/5ML - CX/25 - CRISTALIA</x:v>
      </x:c>
      <x:c r="G219" s="22" t="str">
        <x:v>BROMETO ROCURONIO</x:v>
      </x:c>
      <x:c r="H219" s="22" t="str">
        <x:v>10MG/5ML | 10MG | 5ML</x:v>
      </x:c>
      <x:c r="I219" s="22" t="str"/>
      <x:c r="J219" s="22" t="str">
        <x:v>CX/25 | CX | CONTEUDO25 | FATOR25</x:v>
      </x:c>
      <x:c r="K219" s="22" t="str">
        <x:v>CAIXA</x:v>
      </x:c>
      <x:c r="L219" s="22" t="str">
        <x:v>CRISTALIA</x:v>
      </x:c>
      <x:c r="M219" s="28" t="str"/>
      <x:c r="N219" s="28" t="str">
        <x:f>"30049079"</x:f>
        <x:v>30049079</x:v>
      </x:c>
      <x:c r="O219" s="29" t="n">
        <x:v>4</x:v>
      </x:c>
      <x:c r="P219" s="29" t="n">
        <x:v>9.5</x:v>
      </x:c>
      <x:c r="Q219" s="28" t="str">
        <x:f>"78 | 79 | 80"</x:f>
        <x:v>78 | 79 | 80</x:v>
      </x:c>
      <x:c r="R219" s="28" t="str">
        <x:f>"BR10002 | BR10013 | BR10003"</x:f>
        <x:v>BR10002 | BR10013 | BR10003</x:v>
      </x:c>
      <x:c r="S219" s="22" t="str">
        <x:v>varios codigos legados consolidados em um produto; mais de um GTIN no mesmo produto</x:v>
      </x:c>
      <x:c r="T219" s="22" t="str">
        <x:v>BROMETO ROCURONIO - 10MG/5ML | 10MG | 5ML - CAIXA - CX/25 | CX | CONTEUDO25 | FATOR25 - CRISTALIA</x:v>
      </x:c>
      <x:c r="U219" s="27" t="str"/>
      <x:c r="V219" s="27" t="str"/>
    </x:row>
    <x:row r="220">
      <x:c r="A220" s="28" t="str">
        <x:f>"G-035"</x:f>
        <x:v>G-035</x:v>
      </x:c>
      <x:c r="B220" s="22" t="str">
        <x:v>BROMETO ROCURONIO</x:v>
      </x:c>
      <x:c r="C220" s="22" t="str">
        <x:v>BAIXO</x:v>
      </x:c>
      <x:c r="D220" s="22" t="str">
        <x:v>REVISAR possível duplicidade</x:v>
      </x:c>
      <x:c r="E220" s="28" t="str">
        <x:f>"BR10001"</x:f>
        <x:v>BR10001</x:v>
      </x:c>
      <x:c r="F220" s="22" t="str">
        <x:v>BROMETO DE ROCURONIO 10MG/5ML - CX/25 - VOLPHARMA</x:v>
      </x:c>
      <x:c r="G220" s="22" t="str">
        <x:v>BROMETO ROCURONIO</x:v>
      </x:c>
      <x:c r="H220" s="22" t="str">
        <x:v>10MG/5ML | 10MG | 5ML</x:v>
      </x:c>
      <x:c r="I220" s="22" t="str"/>
      <x:c r="J220" s="22" t="str">
        <x:v>CX/25 | CX | CONTEUDO25 | FATOR25</x:v>
      </x:c>
      <x:c r="K220" s="22" t="str">
        <x:v>CAIXA</x:v>
      </x:c>
      <x:c r="L220" s="22" t="str">
        <x:v>VOLPHARMA</x:v>
      </x:c>
      <x:c r="M220" s="28" t="str">
        <x:f>"GTIN: 7898560661969"</x:f>
        <x:v>GTIN: 7898560661969</x:v>
      </x:c>
      <x:c r="N220" s="28" t="str">
        <x:f>"30049079"</x:f>
        <x:v>30049079</x:v>
      </x:c>
      <x:c r="O220" s="29" t="n">
        <x:v>4</x:v>
      </x:c>
      <x:c r="P220" s="29" t="n">
        <x:v>9.5</x:v>
      </x:c>
      <x:c r="Q220" s="28" t="str">
        <x:f>"81"</x:f>
        <x:v>81</x:v>
      </x:c>
      <x:c r="R220" s="28" t="str">
        <x:f>"BR10001"</x:f>
        <x:v>BR10001</x:v>
      </x:c>
      <x:c r="S220" s="22" t="str">
        <x:v>GTIN repetido em produtos distintos</x:v>
      </x:c>
      <x:c r="T220" s="22" t="str">
        <x:v>BROMETO ROCURONIO - 10MG/5ML | 10MG | 5ML - CAIXA - CX/25 | CX | CONTEUDO25 | FATOR25 - VOLPHARMA</x:v>
      </x:c>
      <x:c r="U220" s="27" t="str"/>
      <x:c r="V220" s="27" t="str"/>
    </x:row>
    <x:row r="221">
      <x:c r="A221" s="28" t="str">
        <x:f>"G-045"</x:f>
        <x:v>G-045</x:v>
      </x:c>
      <x:c r="B221" s="22" t="str">
        <x:v>CANULA GUEDEL N ESTERIL 50UN</x:v>
      </x:c>
      <x:c r="C221" s="22" t="str">
        <x:v>BAIXO</x:v>
      </x:c>
      <x:c r="D221" s="22" t="str">
        <x:v>REVISAR possível duplicidade</x:v>
      </x:c>
      <x:c r="E221" s="28" t="str">
        <x:f>"CGN0001"</x:f>
        <x:v>CGN0001</x:v>
      </x:c>
      <x:c r="F221" s="22" t="str">
        <x:v>CANULA DE GUEDEL N°01 70MM ESTERIL CX/ 50UN- SEVEN</x:v>
      </x:c>
      <x:c r="G221" s="22" t="str">
        <x:v>CANULA GUEDEL N° ESTERIL 50UN</x:v>
      </x:c>
      <x:c r="H221" s="22" t="str"/>
      <x:c r="I221" s="22" t="str"/>
      <x:c r="J221" s="22" t="str">
        <x:v>CX/ | UN</x:v>
      </x:c>
      <x:c r="K221" s="22" t="str">
        <x:v>UNIDADE</x:v>
      </x:c>
      <x:c r="L221" s="22" t="str">
        <x:v>SEVEN</x:v>
      </x:c>
      <x:c r="M221" s="28" t="str"/>
      <x:c r="N221" s="28" t="str">
        <x:f>"90183929"</x:f>
        <x:v>90183929</x:v>
      </x:c>
      <x:c r="O221" s="29" t="n">
        <x:v>1.85</x:v>
      </x:c>
      <x:c r="P221" s="29" t="n">
        <x:v>0</x:v>
      </x:c>
      <x:c r="Q221" s="28" t="str">
        <x:f>"91"</x:f>
        <x:v>91</x:v>
      </x:c>
      <x:c r="R221" s="28" t="str">
        <x:f>"CGN0001"</x:f>
        <x:v>CGN0001</x:v>
      </x:c>
      <x:c r="S221" s="22" t="str">
        <x:v>GTIN ausente ou invalido</x:v>
      </x:c>
      <x:c r="T221" s="22" t="str">
        <x:v>CANULA GUEDEL N° ESTERIL 50UN - UNIDADE - CX/ | UN - SEVEN</x:v>
      </x:c>
      <x:c r="U221" s="27" t="str"/>
      <x:c r="V221" s="27" t="str"/>
    </x:row>
    <x:row r="222">
      <x:c r="A222" s="28" t="str">
        <x:f>"G-045"</x:f>
        <x:v>G-045</x:v>
      </x:c>
      <x:c r="B222" s="22" t="str">
        <x:v>CANULA GUEDEL N ESTERIL 50UN</x:v>
      </x:c>
      <x:c r="C222" s="22" t="str">
        <x:v>BAIXO</x:v>
      </x:c>
      <x:c r="D222" s="22" t="str">
        <x:v>REVISAR possível duplicidade</x:v>
      </x:c>
      <x:c r="E222" s="28" t="str">
        <x:f>"CGN0002"</x:f>
        <x:v>CGN0002</x:v>
      </x:c>
      <x:c r="F222" s="22" t="str">
        <x:v>CANULA DE GUEDEL N°02 80MM ESTERIL CX/ 50UN- SEVEN</x:v>
      </x:c>
      <x:c r="G222" s="22" t="str">
        <x:v>CANULA GUEDEL N° ESTERIL 50UN</x:v>
      </x:c>
      <x:c r="H222" s="22" t="str"/>
      <x:c r="I222" s="22" t="str"/>
      <x:c r="J222" s="22" t="str">
        <x:v>CX/ | UN</x:v>
      </x:c>
      <x:c r="K222" s="22" t="str">
        <x:v>UNIDADE</x:v>
      </x:c>
      <x:c r="L222" s="22" t="str">
        <x:v>SEVEN</x:v>
      </x:c>
      <x:c r="M222" s="28" t="str"/>
      <x:c r="N222" s="28" t="str">
        <x:f>"90183929"</x:f>
        <x:v>90183929</x:v>
      </x:c>
      <x:c r="O222" s="29" t="n">
        <x:v>1.85</x:v>
      </x:c>
      <x:c r="P222" s="29" t="n">
        <x:v>0</x:v>
      </x:c>
      <x:c r="Q222" s="28" t="str">
        <x:f>"92"</x:f>
        <x:v>92</x:v>
      </x:c>
      <x:c r="R222" s="28" t="str">
        <x:f>"CGN0002"</x:f>
        <x:v>CGN0002</x:v>
      </x:c>
      <x:c r="S222" s="22" t="str">
        <x:v>GTIN ausente ou invalido</x:v>
      </x:c>
      <x:c r="T222" s="22" t="str">
        <x:v>CANULA GUEDEL N° ESTERIL 50UN - UNIDADE - CX/ | UN - SEVEN</x:v>
      </x:c>
      <x:c r="U222" s="27" t="str"/>
      <x:c r="V222" s="27" t="str"/>
    </x:row>
    <x:row r="223">
      <x:c r="A223" s="28" t="str">
        <x:f>"G-059"</x:f>
        <x:v>G-059</x:v>
      </x:c>
      <x:c r="B223" s="22" t="str">
        <x:v>CEFAZOLINA SODICA</x:v>
      </x:c>
      <x:c r="C223" s="22" t="str">
        <x:v>BAIXO</x:v>
      </x:c>
      <x:c r="D223" s="22" t="str">
        <x:v>REVISAR possível duplicidade</x:v>
      </x:c>
      <x:c r="E223" s="28" t="str">
        <x:f>"CS10025"</x:f>
        <x:v>CS10025</x:v>
      </x:c>
      <x:c r="F223" s="22" t="str">
        <x:v>CEFAZOLINA SÓDICA 1G C/50 - BLAU</x:v>
      </x:c>
      <x:c r="G223" s="22" t="str">
        <x:v>CEFAZOLINA SODICA</x:v>
      </x:c>
      <x:c r="H223" s="22" t="str">
        <x:v>1G</x:v>
      </x:c>
      <x:c r="I223" s="22" t="str">
        <x:v>1G</x:v>
      </x:c>
      <x:c r="J223" s="22" t="str">
        <x:v>UN</x:v>
      </x:c>
      <x:c r="K223" s="22" t="str">
        <x:v>UNIDADE</x:v>
      </x:c>
      <x:c r="L223" s="22" t="str">
        <x:v>BLAU</x:v>
      </x:c>
      <x:c r="M223" s="28" t="str">
        <x:f>"GTIN: 7898901848509"</x:f>
        <x:v>GTIN: 7898901848509</x:v>
      </x:c>
      <x:c r="N223" s="28" t="str">
        <x:f>"30042059"</x:f>
        <x:v>30042059</x:v>
      </x:c>
      <x:c r="O223" s="29" t="n">
        <x:v>2.5</x:v>
      </x:c>
      <x:c r="P223" s="29" t="n">
        <x:v>0</x:v>
      </x:c>
      <x:c r="Q223" s="28" t="str">
        <x:f>"138 | 139 | 140 | 141 | 142 | 143 | 144 | 145 | 146 | 147 | 148 | 149"</x:f>
        <x:v>138 | 139 | 140 | 141 | 142 | 143 | 144 | 145 | 146 | 147 | 148 | 149</x:v>
      </x:c>
      <x:c r="R223" s="28" t="str">
        <x:f>"CS10010 | CS10002 | CS10007 | CS10008 | CS10025 | CS10026 | CS10024 | CS10018 | CS10030 | CS10023 | CS10021 | CS10019"</x:f>
        <x:v>CS10010 | CS10002 | CS10007 | CS10008 | CS10025 | CS10026 | CS10024 | CS10018 | CS10030 | CS10023 | CS10021 | CS10019</x:v>
      </x:c>
      <x:c r="S223" s="22" t="str">
        <x:v>varios codigos legados consolidados em um produto; marca divergente entre registros consolidados</x:v>
      </x:c>
      <x:c r="T223" s="22" t="str">
        <x:v>CEFAZOLINA SODICA - 1G - UNIDADE - UN - BLAU</x:v>
      </x:c>
      <x:c r="U223" s="27" t="str"/>
      <x:c r="V223" s="27" t="str"/>
    </x:row>
    <x:row r="224">
      <x:c r="A224" s="28" t="str">
        <x:f>"G-059"</x:f>
        <x:v>G-059</x:v>
      </x:c>
      <x:c r="B224" s="22" t="str">
        <x:v>CEFAZOLINA SODICA</x:v>
      </x:c>
      <x:c r="C224" s="22" t="str">
        <x:v>BAIXO</x:v>
      </x:c>
      <x:c r="D224" s="22" t="str">
        <x:v>REVISAR possível duplicidade</x:v>
      </x:c>
      <x:c r="E224" s="28" t="str">
        <x:f>"CS10004"</x:f>
        <x:v>CS10004</x:v>
      </x:c>
      <x:c r="F224" s="22" t="str">
        <x:v>CEFAZOLINA SÓDICA 1G C/50 - EUGIA</x:v>
      </x:c>
      <x:c r="G224" s="22" t="str">
        <x:v>CEFAZOLINA SODICA</x:v>
      </x:c>
      <x:c r="H224" s="22" t="str">
        <x:v>1G</x:v>
      </x:c>
      <x:c r="I224" s="22" t="str">
        <x:v>1G</x:v>
      </x:c>
      <x:c r="J224" s="22" t="str">
        <x:v>UN</x:v>
      </x:c>
      <x:c r="K224" s="22" t="str">
        <x:v>UNIDADE</x:v>
      </x:c>
      <x:c r="L224" s="22" t="str">
        <x:v>EUGIA</x:v>
      </x:c>
      <x:c r="M224" s="28" t="str"/>
      <x:c r="N224" s="28" t="str">
        <x:f>"30042059"</x:f>
        <x:v>30042059</x:v>
      </x:c>
      <x:c r="O224" s="29" t="n">
        <x:v>2.5</x:v>
      </x:c>
      <x:c r="P224" s="29" t="n">
        <x:v>0</x:v>
      </x:c>
      <x:c r="Q224" s="28" t="str">
        <x:f>"150 | 151 | 152 | 153 | 154 | 155"</x:f>
        <x:v>150 | 151 | 152 | 153 | 154 | 155</x:v>
      </x:c>
      <x:c r="R224" s="28" t="str">
        <x:f>"CS10013 | CS10014 | CS10003 | CS10016 | CS10004 | CS10005"</x:f>
        <x:v>CS10013 | CS10014 | CS10003 | CS10016 | CS10004 | CS10005</x:v>
      </x:c>
      <x:c r="S224" s="22" t="str">
        <x:v>varios codigos legados consolidados em um produto; GTIN ausente ou invalido</x:v>
      </x:c>
      <x:c r="T224" s="22" t="str">
        <x:v>CEFAZOLINA SODICA - 1G - UNIDADE - UN - EUGIA</x:v>
      </x:c>
      <x:c r="U224" s="27" t="str"/>
      <x:c r="V224" s="27" t="str"/>
    </x:row>
    <x:row r="225">
      <x:c r="A225" s="28" t="str">
        <x:f>"G-062"</x:f>
        <x:v>G-062</x:v>
      </x:c>
      <x:c r="B225" s="22" t="str">
        <x:v>CEFTRIAXONA</x:v>
      </x:c>
      <x:c r="C225" s="22" t="str">
        <x:v>BAIXO</x:v>
      </x:c>
      <x:c r="D225" s="22" t="str">
        <x:v>REVISAR possível duplicidade</x:v>
      </x:c>
      <x:c r="E225" s="28" t="str">
        <x:f>"C1A0005"</x:f>
        <x:v>C1A0005</x:v>
      </x:c>
      <x:c r="F225" s="22" t="str">
        <x:v>CEFTRIAXONA 1G - ABL - CX/50</x:v>
      </x:c>
      <x:c r="G225" s="22" t="str">
        <x:v>CEFTRIAXONA</x:v>
      </x:c>
      <x:c r="H225" s="22" t="str">
        <x:v>1G</x:v>
      </x:c>
      <x:c r="I225" s="22" t="str">
        <x:v>1G</x:v>
      </x:c>
      <x:c r="J225" s="22" t="str">
        <x:v>CX/50 | CX | CONTEUDO50 | FATOR50</x:v>
      </x:c>
      <x:c r="K225" s="22" t="str">
        <x:v>CAIXA</x:v>
      </x:c>
      <x:c r="L225" s="22" t="str">
        <x:v>ABL</x:v>
      </x:c>
      <x:c r="M225" s="28" t="str">
        <x:f>"GTIN: 7891317003005"</x:f>
        <x:v>GTIN: 7891317003005</x:v>
      </x:c>
      <x:c r="N225" s="28" t="str">
        <x:f>"29419031"</x:f>
        <x:v>29419031</x:v>
      </x:c>
      <x:c r="O225" s="29" t="n">
        <x:v>2.46</x:v>
      </x:c>
      <x:c r="P225" s="29" t="n">
        <x:v>5.05</x:v>
      </x:c>
      <x:c r="Q225" s="28" t="str">
        <x:f>"160 | 161"</x:f>
        <x:v>160 | 161</x:v>
      </x:c>
      <x:c r="R225" s="28" t="str">
        <x:f>"C1A0005 | C1-0001"</x:f>
        <x:v>C1A0005 | C1-0001</x:v>
      </x:c>
      <x:c r="S225" s="22" t="str">
        <x:v>varios codigos legados consolidados em um produto; preco de venda divergente entre lotes</x:v>
      </x:c>
      <x:c r="T225" s="22" t="str">
        <x:v>CEFTRIAXONA - 1G - CAIXA - CX/50 | CX | CONTEUDO50 | FATOR50 - ABL</x:v>
      </x:c>
      <x:c r="U225" s="27" t="str"/>
      <x:c r="V225" s="27" t="str"/>
    </x:row>
    <x:row r="226">
      <x:c r="A226" s="28" t="str">
        <x:f>"G-062"</x:f>
        <x:v>G-062</x:v>
      </x:c>
      <x:c r="B226" s="22" t="str">
        <x:v>CEFTRIAXONA</x:v>
      </x:c>
      <x:c r="C226" s="22" t="str">
        <x:v>BAIXO</x:v>
      </x:c>
      <x:c r="D226" s="22" t="str">
        <x:v>REVISAR possível duplicidade</x:v>
      </x:c>
      <x:c r="E226" s="28" t="str">
        <x:f>"C1-0002"</x:f>
        <x:v>C1-0002</x:v>
      </x:c>
      <x:c r="F226" s="22" t="str">
        <x:v>CEFTRIAXONA 1G - TEUTO - CX/50</x:v>
      </x:c>
      <x:c r="G226" s="22" t="str">
        <x:v>CEFTRIAXONA</x:v>
      </x:c>
      <x:c r="H226" s="22" t="str">
        <x:v>1G</x:v>
      </x:c>
      <x:c r="I226" s="22" t="str">
        <x:v>1G</x:v>
      </x:c>
      <x:c r="J226" s="22" t="str">
        <x:v>CX/50 | CX | CONTEUDO50 | FATOR50</x:v>
      </x:c>
      <x:c r="K226" s="22" t="str">
        <x:v>CAIXA</x:v>
      </x:c>
      <x:c r="L226" s="22" t="str">
        <x:v>TEUTO</x:v>
      </x:c>
      <x:c r="M226" s="28" t="str"/>
      <x:c r="N226" s="28" t="str">
        <x:f>"29419031"</x:f>
        <x:v>29419031</x:v>
      </x:c>
      <x:c r="O226" s="29" t="n">
        <x:v>2.46</x:v>
      </x:c>
      <x:c r="P226" s="29" t="n">
        <x:v>5.05</x:v>
      </x:c>
      <x:c r="Q226" s="28" t="str">
        <x:f>"162"</x:f>
        <x:v>162</x:v>
      </x:c>
      <x:c r="R226" s="28" t="str">
        <x:f>"C1-0002"</x:f>
        <x:v>C1-0002</x:v>
      </x:c>
      <x:c r="S226" s="22" t="str">
        <x:v>GTIN ausente ou invalido</x:v>
      </x:c>
      <x:c r="T226" s="22" t="str">
        <x:v>CEFTRIAXONA - 1G - CAIXA - CX/50 | CX | CONTEUDO50 | FATOR50 - TEUTO</x:v>
      </x:c>
      <x:c r="U226" s="27" t="str"/>
      <x:c r="V226" s="27" t="str"/>
    </x:row>
    <x:row r="227">
      <x:c r="A227" s="28" t="str">
        <x:f>"G-064"</x:f>
        <x:v>G-064</x:v>
      </x:c>
      <x:c r="B227" s="22" t="str">
        <x:v>CEFUROXIMA</x:v>
      </x:c>
      <x:c r="C227" s="22" t="str">
        <x:v>BAIXO</x:v>
      </x:c>
      <x:c r="D227" s="22" t="str">
        <x:v>REVISAR possível duplicidade</x:v>
      </x:c>
      <x:c r="E227" s="28" t="str">
        <x:f>"C7-0001"</x:f>
        <x:v>C7-0001</x:v>
      </x:c>
      <x:c r="F227" s="22" t="str">
        <x:v>CEFUROXIMA 750MG - CX/25 - BIOCHIMICO</x:v>
      </x:c>
      <x:c r="G227" s="22" t="str">
        <x:v>CEFUROXIMA</x:v>
      </x:c>
      <x:c r="H227" s="22" t="str">
        <x:v>750MG</x:v>
      </x:c>
      <x:c r="I227" s="22" t="str"/>
      <x:c r="J227" s="22" t="str">
        <x:v>CX/25 | CX | CONTEUDO50 | FATOR50</x:v>
      </x:c>
      <x:c r="K227" s="22" t="str">
        <x:v>CAIXA</x:v>
      </x:c>
      <x:c r="L227" s="22" t="str">
        <x:v>BIOCHIMICO</x:v>
      </x:c>
      <x:c r="M227" s="28" t="str">
        <x:f>"GTIN: 7898739420656"</x:f>
        <x:v>GTIN: 7898739420656</x:v>
      </x:c>
      <x:c r="N227" s="28" t="str">
        <x:f>"30042059"</x:f>
        <x:v>30042059</x:v>
      </x:c>
      <x:c r="O227" s="29" t="n">
        <x:v>5</x:v>
      </x:c>
      <x:c r="P227" s="29" t="n">
        <x:v>14.24</x:v>
      </x:c>
      <x:c r="Q227" s="28" t="str">
        <x:f>"164"</x:f>
        <x:v>164</x:v>
      </x:c>
      <x:c r="R227" s="28" t="str">
        <x:f>"C7-0001"</x:f>
        <x:v>C7-0001</x:v>
      </x:c>
      <x:c r="S227" s="22" t="str">
        <x:v>GTIN repetido em produtos distintos</x:v>
      </x:c>
      <x:c r="T227" s="22" t="str">
        <x:v>CEFUROXIMA - 750MG - CAIXA - CX/25 | CX | CONTEUDO50 | FATOR50 - BIOCHIMICO</x:v>
      </x:c>
      <x:c r="U227" s="27" t="str"/>
      <x:c r="V227" s="27" t="str"/>
    </x:row>
    <x:row r="228">
      <x:c r="A228" s="28" t="str">
        <x:f>"G-064"</x:f>
        <x:v>G-064</x:v>
      </x:c>
      <x:c r="B228" s="22" t="str">
        <x:v>CEFUROXIMA</x:v>
      </x:c>
      <x:c r="C228" s="22" t="str">
        <x:v>BAIXO</x:v>
      </x:c>
      <x:c r="D228" s="22" t="str">
        <x:v>REVISAR possível duplicidade</x:v>
      </x:c>
      <x:c r="E228" s="28" t="str">
        <x:f>"C7-0006"</x:f>
        <x:v>C7-0006</x:v>
      </x:c>
      <x:c r="F228" s="22" t="str">
        <x:v>CEFUROXIMA 750MG - CX/25 - EUGIA</x:v>
      </x:c>
      <x:c r="G228" s="22" t="str">
        <x:v>CEFUROXIMA</x:v>
      </x:c>
      <x:c r="H228" s="22" t="str">
        <x:v>750MG</x:v>
      </x:c>
      <x:c r="I228" s="22" t="str"/>
      <x:c r="J228" s="22" t="str">
        <x:v>CX/25 | CX | CONTEUDO50 | FATOR50</x:v>
      </x:c>
      <x:c r="K228" s="22" t="str">
        <x:v>CAIXA</x:v>
      </x:c>
      <x:c r="L228" s="22" t="str">
        <x:v>EUGIA</x:v>
      </x:c>
      <x:c r="M228" s="28" t="str">
        <x:f>"GTIN: 7898739420656"</x:f>
        <x:v>GTIN: 7898739420656</x:v>
      </x:c>
      <x:c r="N228" s="28" t="str">
        <x:f>"30042059"</x:f>
        <x:v>30042059</x:v>
      </x:c>
      <x:c r="O228" s="29" t="n">
        <x:v>5</x:v>
      </x:c>
      <x:c r="P228" s="29" t="n">
        <x:v>14.24</x:v>
      </x:c>
      <x:c r="Q228" s="28" t="str">
        <x:f>"165 | 166"</x:f>
        <x:v>165 | 166</x:v>
      </x:c>
      <x:c r="R228" s="28" t="str">
        <x:f>"C7-0006 | C7-0007"</x:f>
        <x:v>C7-0006 | C7-0007</x:v>
      </x:c>
      <x:c r="S228" s="22" t="str">
        <x:v>varios codigos legados consolidados em um produto; GTIN repetido em produtos distintos</x:v>
      </x:c>
      <x:c r="T228" s="22" t="str">
        <x:v>CEFUROXIMA - 750MG - CAIXA - CX/25 | CX | CONTEUDO50 | FATOR50 - EUGIA</x:v>
      </x:c>
      <x:c r="U228" s="27" t="str"/>
      <x:c r="V228" s="27" t="str"/>
    </x:row>
    <x:row r="229">
      <x:c r="A229" s="28" t="str">
        <x:f>"G-090"</x:f>
        <x:v>G-090</x:v>
      </x:c>
      <x:c r="B229" s="22" t="str">
        <x:v>CLORIDRATO BUPIVACAINA</x:v>
      </x:c>
      <x:c r="C229" s="22" t="str">
        <x:v>BAIXO</x:v>
      </x:c>
      <x:c r="D229" s="22" t="str">
        <x:v>REVISAR possível duplicidade</x:v>
      </x:c>
      <x:c r="E229" s="28" t="str">
        <x:f>"CB50003"</x:f>
        <x:v>CB50003</x:v>
      </x:c>
      <x:c r="F229" s="22" t="str">
        <x:v>CLORIDRATO DE BUPIVACAINA 5MG/ML 20ML - CX/25 - HIPOLABOR</x:v>
      </x:c>
      <x:c r="G229" s="22" t="str">
        <x:v>CLORIDRATO BUPIVACAINA</x:v>
      </x:c>
      <x:c r="H229" s="22" t="str">
        <x:v>5MG/ML | 5MG | 20ML</x:v>
      </x:c>
      <x:c r="I229" s="22" t="str"/>
      <x:c r="J229" s="22" t="str">
        <x:v>CX/25 | CX | CONTEUDO25 | FATOR25</x:v>
      </x:c>
      <x:c r="K229" s="22" t="str">
        <x:v>CAIXA</x:v>
      </x:c>
      <x:c r="L229" s="22" t="str">
        <x:v>HIPOLABOR</x:v>
      </x:c>
      <x:c r="M229" s="28" t="str">
        <x:f>"GTIN: 7898123908982"</x:f>
        <x:v>GTIN: 7898123908982</x:v>
      </x:c>
      <x:c r="N229" s="28" t="str">
        <x:f>"29333983"</x:f>
        <x:v>29333983</x:v>
      </x:c>
      <x:c r="O229" s="29" t="n">
        <x:v>2</x:v>
      </x:c>
      <x:c r="P229" s="29" t="n">
        <x:v>3.5</x:v>
      </x:c>
      <x:c r="Q229" s="28" t="str">
        <x:f>"252"</x:f>
        <x:v>252</x:v>
      </x:c>
      <x:c r="R229" s="28" t="str">
        <x:f>"CB50003"</x:f>
        <x:v>CB50003</x:v>
      </x:c>
      <x:c r="S229" s="22" t="str">
        <x:v>GTIN repetido em produtos distintos</x:v>
      </x:c>
      <x:c r="T229" s="22" t="str">
        <x:v>CLORIDRATO BUPIVACAINA - 5MG/ML | 5MG | 20ML - CAIXA - CX/25 | CX | CONTEUDO25 | FATOR25 - HIPOLABOR</x:v>
      </x:c>
      <x:c r="U229" s="27" t="str"/>
      <x:c r="V229" s="27" t="str"/>
    </x:row>
    <x:row r="230">
      <x:c r="A230" s="28" t="str">
        <x:f>"G-090"</x:f>
        <x:v>G-090</x:v>
      </x:c>
      <x:c r="B230" s="22" t="str">
        <x:v>CLORIDRATO BUPIVACAINA</x:v>
      </x:c>
      <x:c r="C230" s="22" t="str">
        <x:v>BAIXO</x:v>
      </x:c>
      <x:c r="D230" s="22" t="str">
        <x:v>REVISAR possível duplicidade</x:v>
      </x:c>
      <x:c r="E230" s="28" t="str">
        <x:f>"CB50002"</x:f>
        <x:v>CB50002</x:v>
      </x:c>
      <x:c r="F230" s="22" t="str">
        <x:v>CLORIDRATO DE BUPIVACAINA 5MG/ML 20ML - CX/25 - HYPOFARMA</x:v>
      </x:c>
      <x:c r="G230" s="22" t="str">
        <x:v>CLORIDRATO BUPIVACAINA</x:v>
      </x:c>
      <x:c r="H230" s="22" t="str">
        <x:v>5MG/ML | 5MG | 20ML</x:v>
      </x:c>
      <x:c r="I230" s="22" t="str"/>
      <x:c r="J230" s="22" t="str">
        <x:v>CX/25 | CX | CONTEUDO25 | FATOR25</x:v>
      </x:c>
      <x:c r="K230" s="22" t="str">
        <x:v>CAIXA</x:v>
      </x:c>
      <x:c r="L230" s="22" t="str">
        <x:v>HYPOFARMA</x:v>
      </x:c>
      <x:c r="M230" s="28" t="str">
        <x:f>"GTIN: 7898123908982"</x:f>
        <x:v>GTIN: 7898123908982</x:v>
      </x:c>
      <x:c r="N230" s="28" t="str">
        <x:f>"29333983"</x:f>
        <x:v>29333983</x:v>
      </x:c>
      <x:c r="O230" s="29" t="n">
        <x:v>2</x:v>
      </x:c>
      <x:c r="P230" s="29" t="n">
        <x:v>3.5</x:v>
      </x:c>
      <x:c r="Q230" s="28" t="str">
        <x:f>"253"</x:f>
        <x:v>253</x:v>
      </x:c>
      <x:c r="R230" s="28" t="str">
        <x:f>"CB50002"</x:f>
        <x:v>CB50002</x:v>
      </x:c>
      <x:c r="S230" s="22" t="str">
        <x:v>GTIN repetido em produtos distintos</x:v>
      </x:c>
      <x:c r="T230" s="22" t="str">
        <x:v>CLORIDRATO BUPIVACAINA - 5MG/ML | 5MG | 20ML - CAIXA - CX/25 | CX | CONTEUDO25 | FATOR25 - HYPOFARMA</x:v>
      </x:c>
      <x:c r="U230" s="27" t="str"/>
      <x:c r="V230" s="27" t="str"/>
    </x:row>
    <x:row r="231">
      <x:c r="A231" s="28" t="str">
        <x:f>"G-091"</x:f>
        <x:v>G-091</x:v>
      </x:c>
      <x:c r="B231" s="22" t="str">
        <x:v>CLORIDRATO CEFEPIMA</x:v>
      </x:c>
      <x:c r="C231" s="22" t="str">
        <x:v>BAIXO</x:v>
      </x:c>
      <x:c r="D231" s="22" t="str">
        <x:v>REVISAR possível duplicidade</x:v>
      </x:c>
      <x:c r="E231" s="28" t="str">
        <x:f>"CC10002"</x:f>
        <x:v>CC10002</x:v>
      </x:c>
      <x:c r="F231" s="22" t="str">
        <x:v>CLORIDRATO DE CEFEPIMA 1G - CX/50 - EUGIA</x:v>
      </x:c>
      <x:c r="G231" s="22" t="str">
        <x:v>CLORIDRATO CEFEPIMA</x:v>
      </x:c>
      <x:c r="H231" s="22" t="str">
        <x:v>1G</x:v>
      </x:c>
      <x:c r="I231" s="22" t="str">
        <x:v>1G</x:v>
      </x:c>
      <x:c r="J231" s="22" t="str">
        <x:v>CX/50 | CX | CONTEUDO50 | FATOR50</x:v>
      </x:c>
      <x:c r="K231" s="22" t="str">
        <x:v>CAIXA</x:v>
      </x:c>
      <x:c r="L231" s="22" t="str">
        <x:v>EUGIA</x:v>
      </x:c>
      <x:c r="M231" s="28" t="str">
        <x:f>"GTIN: 7896112196129"</x:f>
        <x:v>GTIN: 7896112196129</x:v>
      </x:c>
      <x:c r="N231" s="28" t="str">
        <x:f>"30042059"</x:f>
        <x:v>30042059</x:v>
      </x:c>
      <x:c r="O231" s="29" t="n">
        <x:v>4.5</x:v>
      </x:c>
      <x:c r="P231" s="29" t="n">
        <x:v>8.2</x:v>
      </x:c>
      <x:c r="Q231" s="28" t="str">
        <x:f>"254"</x:f>
        <x:v>254</x:v>
      </x:c>
      <x:c r="R231" s="28" t="str">
        <x:f>"CC10002"</x:f>
        <x:v>CC10002</x:v>
      </x:c>
      <x:c r="S231" s="22" t="str">
        <x:v>GTIN repetido em produtos distintos</x:v>
      </x:c>
      <x:c r="T231" s="22" t="str">
        <x:v>CLORIDRATO CEFEPIMA - 1G - CAIXA - CX/50 | CX | CONTEUDO50 | FATOR50 - EUGIA</x:v>
      </x:c>
      <x:c r="U231" s="27" t="str"/>
      <x:c r="V231" s="27" t="str"/>
    </x:row>
    <x:row r="232">
      <x:c r="A232" s="28" t="str">
        <x:f>"G-091"</x:f>
        <x:v>G-091</x:v>
      </x:c>
      <x:c r="B232" s="22" t="str">
        <x:v>CLORIDRATO CEFEPIMA</x:v>
      </x:c>
      <x:c r="C232" s="22" t="str">
        <x:v>BAIXO</x:v>
      </x:c>
      <x:c r="D232" s="22" t="str">
        <x:v>REVISAR possível duplicidade</x:v>
      </x:c>
      <x:c r="E232" s="28" t="str">
        <x:f>"CC10018"</x:f>
        <x:v>CC10018</x:v>
      </x:c>
      <x:c r="F232" s="22" t="str">
        <x:v>CLORIDRATO DE CEFEPIMA 1G - CX/50 - TEUTO</x:v>
      </x:c>
      <x:c r="G232" s="22" t="str">
        <x:v>CLORIDRATO CEFEPIMA</x:v>
      </x:c>
      <x:c r="H232" s="22" t="str">
        <x:v>1G</x:v>
      </x:c>
      <x:c r="I232" s="22" t="str">
        <x:v>1G</x:v>
      </x:c>
      <x:c r="J232" s="22" t="str">
        <x:v>CX/50 | CX | CONTEUDO50 | FATOR50</x:v>
      </x:c>
      <x:c r="K232" s="22" t="str">
        <x:v>CAIXA</x:v>
      </x:c>
      <x:c r="L232" s="22" t="str">
        <x:v>TEUTO</x:v>
      </x:c>
      <x:c r="M232" s="28" t="str">
        <x:f>"GTIN: 7896112196129"</x:f>
        <x:v>GTIN: 7896112196129</x:v>
      </x:c>
      <x:c r="N232" s="28" t="str">
        <x:f>"30042059"</x:f>
        <x:v>30042059</x:v>
      </x:c>
      <x:c r="O232" s="29" t="n">
        <x:v>4.5</x:v>
      </x:c>
      <x:c r="P232" s="29" t="n">
        <x:v>8.2</x:v>
      </x:c>
      <x:c r="Q232" s="28" t="str">
        <x:f>"255 | 256 | 257 | 258"</x:f>
        <x:v>255 | 256 | 257 | 258</x:v>
      </x:c>
      <x:c r="R232" s="28" t="str">
        <x:f>"CC10001 | CC10015 | CC10017 | CC10018"</x:f>
        <x:v>CC10001 | CC10015 | CC10017 | CC10018</x:v>
      </x:c>
      <x:c r="S232" s="22" t="str">
        <x:v>varios codigos legados consolidados em um produto; GTIN repetido em produtos distintos</x:v>
      </x:c>
      <x:c r="T232" s="22" t="str">
        <x:v>CLORIDRATO CEFEPIMA - 1G - CAIXA - CX/50 | CX | CONTEUDO50 | FATOR50 - TEUTO</x:v>
      </x:c>
      <x:c r="U232" s="27" t="str"/>
      <x:c r="V232" s="27" t="str"/>
    </x:row>
    <x:row r="233">
      <x:c r="A233" s="28" t="str">
        <x:f>"G-101"</x:f>
        <x:v>G-101</x:v>
      </x:c>
      <x:c r="B233" s="22" t="str">
        <x:v>CLORIDRATO REMIFENTANILA</x:v>
      </x:c>
      <x:c r="C233" s="22" t="str">
        <x:v>BAIXO</x:v>
      </x:c>
      <x:c r="D233" s="22" t="str">
        <x:v>REVISAR possível duplicidade</x:v>
      </x:c>
      <x:c r="E233" s="28" t="str">
        <x:f>"CR20006"</x:f>
        <x:v>CR20006</x:v>
      </x:c>
      <x:c r="F233" s="22" t="str">
        <x:v>CLORIDRATO DE REMIFENTANILA 2MG - CX/5 - CRISTALIA</x:v>
      </x:c>
      <x:c r="G233" s="22" t="str">
        <x:v>CLORIDRATO REMIFENTANILA</x:v>
      </x:c>
      <x:c r="H233" s="22" t="str">
        <x:v>2MG</x:v>
      </x:c>
      <x:c r="I233" s="22" t="str"/>
      <x:c r="J233" s="22" t="str">
        <x:v>CX/5 | CX | CONTEUDO5 | FATOR5</x:v>
      </x:c>
      <x:c r="K233" s="22" t="str">
        <x:v>CAIXA</x:v>
      </x:c>
      <x:c r="L233" s="22" t="str">
        <x:v>CRISTALIA</x:v>
      </x:c>
      <x:c r="M233" s="28" t="str">
        <x:f>"GTIN: 7896676416251"</x:f>
        <x:v>GTIN: 7896676416251</x:v>
      </x:c>
      <x:c r="N233" s="28" t="str">
        <x:f>"30049069"</x:f>
        <x:v>30049069</x:v>
      </x:c>
      <x:c r="O233" s="29" t="n">
        <x:v>5</x:v>
      </x:c>
      <x:c r="P233" s="29" t="n">
        <x:v>10</x:v>
      </x:c>
      <x:c r="Q233" s="28" t="str">
        <x:f>"305 | 306 | 307 | 308 | 309 | 310 | 311 | 312 | 313 | 314 | 315"</x:f>
        <x:v>305 | 306 | 307 | 308 | 309 | 310 | 311 | 312 | 313 | 314 | 315</x:v>
      </x:c>
      <x:c r="R233" s="28" t="str">
        <x:f>"CR20008 | CR20011 | CR20012 | CR20006 | CR20005 | CR20001 | CR20013 | CR20014 | CR20002 | CR20003 | CR20004"</x:f>
        <x:v>CR20008 | CR20011 | CR20012 | CR20006 | CR20005 | CR20001 | CR20013 | CR20014 | CR20002 | CR20003 | CR20004</x:v>
      </x:c>
      <x:c r="S233" s="22" t="str">
        <x:v>varios codigos legados consolidados em um produto</x:v>
      </x:c>
      <x:c r="T233" s="22" t="str">
        <x:v>CLORIDRATO REMIFENTANILA - 2MG - CAIXA - CX/5 | CX | CONTEUDO5 | FATOR5 - CRISTALIA</x:v>
      </x:c>
      <x:c r="U233" s="27" t="str"/>
      <x:c r="V233" s="27" t="str"/>
    </x:row>
    <x:row r="234">
      <x:c r="A234" s="28" t="str">
        <x:f>"G-101"</x:f>
        <x:v>G-101</x:v>
      </x:c>
      <x:c r="B234" s="22" t="str">
        <x:v>CLORIDRATO REMIFENTANILA</x:v>
      </x:c>
      <x:c r="C234" s="22" t="str">
        <x:v>BAIXO</x:v>
      </x:c>
      <x:c r="D234" s="22" t="str">
        <x:v>REVISAR possível duplicidade</x:v>
      </x:c>
      <x:c r="E234" s="28" t="str">
        <x:f>"CR20010"</x:f>
        <x:v>CR20010</x:v>
      </x:c>
      <x:c r="F234" s="22" t="str">
        <x:v>CLORIDRATO DE REMIFENTANILA 2MG - CX/5 - UNIÃO QUÍMICA</x:v>
      </x:c>
      <x:c r="G234" s="22" t="str">
        <x:v>CLORIDRATO REMIFENTANILA</x:v>
      </x:c>
      <x:c r="H234" s="22" t="str">
        <x:v>2MG</x:v>
      </x:c>
      <x:c r="I234" s="22" t="str"/>
      <x:c r="J234" s="22" t="str">
        <x:v>CX/5 | CX | CONTEUDO5 | FATOR5</x:v>
      </x:c>
      <x:c r="K234" s="22" t="str">
        <x:v>CAIXA</x:v>
      </x:c>
      <x:c r="L234" s="22" t="str">
        <x:v>UNIÃO QUÍMICA</x:v>
      </x:c>
      <x:c r="M234" s="28" t="str">
        <x:f>"GTIN: 7896006217510"</x:f>
        <x:v>GTIN: 7896006217510</x:v>
      </x:c>
      <x:c r="N234" s="28" t="str">
        <x:f>"30049069"</x:f>
        <x:v>30049069</x:v>
      </x:c>
      <x:c r="O234" s="29" t="n">
        <x:v>5</x:v>
      </x:c>
      <x:c r="P234" s="29" t="n">
        <x:v>10</x:v>
      </x:c>
      <x:c r="Q234" s="28" t="str">
        <x:f>"316"</x:f>
        <x:v>316</x:v>
      </x:c>
      <x:c r="R234" s="28" t="str">
        <x:f>"CR20010"</x:f>
        <x:v>CR20010</x:v>
      </x:c>
      <x:c r="S234" s="22" t="str"/>
      <x:c r="T234" s="22" t="str">
        <x:v>CLORIDRATO REMIFENTANILA - 2MG - CAIXA - CX/5 | CX | CONTEUDO5 | FATOR5 - UNIÃO QUÍMICA</x:v>
      </x:c>
      <x:c r="U234" s="27" t="str"/>
      <x:c r="V234" s="27" t="str"/>
    </x:row>
    <x:row r="235">
      <x:c r="A235" s="28" t="str">
        <x:f>"G-134"</x:f>
        <x:v>G-134</x:v>
      </x:c>
      <x:c r="B235" s="22" t="str">
        <x:v>DIPIRONA SODICA</x:v>
      </x:c>
      <x:c r="C235" s="22" t="str">
        <x:v>BAIXO</x:v>
      </x:c>
      <x:c r="D235" s="22" t="str">
        <x:v>REVISAR possível duplicidade</x:v>
      </x:c>
      <x:c r="E235" s="28" t="str">
        <x:f>"DS50003"</x:f>
        <x:v>DS50003</x:v>
      </x:c>
      <x:c r="F235" s="22" t="str">
        <x:v>DIPIRONA SÓDICA 500MG/ML 2ML AP CX/100 - FARMACE</x:v>
      </x:c>
      <x:c r="G235" s="22" t="str">
        <x:v>DIPIRONA SODICA</x:v>
      </x:c>
      <x:c r="H235" s="22" t="str">
        <x:v>500MG/ML | 500MG | 2ML</x:v>
      </x:c>
      <x:c r="I235" s="22" t="str"/>
      <x:c r="J235" s="22" t="str">
        <x:v>AP | CX/100 | UN</x:v>
      </x:c>
      <x:c r="K235" s="22" t="str">
        <x:v>UNIDADE</x:v>
      </x:c>
      <x:c r="L235" s="22" t="str">
        <x:v>FARMACE</x:v>
      </x:c>
      <x:c r="M235" s="28" t="str">
        <x:f>"GTIN: 7898470683808"</x:f>
        <x:v>GTIN: 7898470683808</x:v>
      </x:c>
      <x:c r="N235" s="28" t="str">
        <x:f>"30049099"</x:f>
        <x:v>30049099</x:v>
      </x:c>
      <x:c r="O235" s="29" t="n">
        <x:v>0.53</x:v>
      </x:c>
      <x:c r="P235" s="29" t="n">
        <x:v>0</x:v>
      </x:c>
      <x:c r="Q235" s="28" t="str">
        <x:f>"387 | 388 | 389 | 390"</x:f>
        <x:v>387 | 388 | 389 | 390</x:v>
      </x:c>
      <x:c r="R235" s="28" t="str">
        <x:f>"DS50003 | DS50005 | DS50006 | DS50007"</x:f>
        <x:v>DS50003 | DS50005 | DS50006 | DS50007</x:v>
      </x:c>
      <x:c r="S235" s="22" t="str">
        <x:v>varios codigos legados consolidados em um produto; GTIN repetido em produtos distintos</x:v>
      </x:c>
      <x:c r="T235" s="22" t="str">
        <x:v>DIPIRONA SODICA - 500MG/ML | 500MG | 2ML - UNIDADE - AP | CX/100 | UN - FARMACE</x:v>
      </x:c>
      <x:c r="U235" s="27" t="str"/>
      <x:c r="V235" s="27" t="str"/>
    </x:row>
    <x:row r="236">
      <x:c r="A236" s="28" t="str">
        <x:f>"G-134"</x:f>
        <x:v>G-134</x:v>
      </x:c>
      <x:c r="B236" s="22" t="str">
        <x:v>DIPIRONA SODICA</x:v>
      </x:c>
      <x:c r="C236" s="22" t="str">
        <x:v>BAIXO</x:v>
      </x:c>
      <x:c r="D236" s="22" t="str">
        <x:v>REVISAR possível duplicidade</x:v>
      </x:c>
      <x:c r="E236" s="28" t="str">
        <x:f>"DS10001"</x:f>
        <x:v>DS10001</x:v>
      </x:c>
      <x:c r="F236" s="22" t="str">
        <x:v>DIPIRONA SÓDICA 500MG/ML 2ML AP CX/100 - SANTISA</x:v>
      </x:c>
      <x:c r="G236" s="22" t="str">
        <x:v>DIPIRONA SODICA</x:v>
      </x:c>
      <x:c r="H236" s="22" t="str">
        <x:v>500MG/ML | 500MG | 2ML</x:v>
      </x:c>
      <x:c r="I236" s="22" t="str"/>
      <x:c r="J236" s="22" t="str">
        <x:v>AP | CX/100 | UN</x:v>
      </x:c>
      <x:c r="K236" s="22" t="str">
        <x:v>UNIDADE</x:v>
      </x:c>
      <x:c r="L236" s="22" t="str">
        <x:v>SANTISA</x:v>
      </x:c>
      <x:c r="M236" s="28" t="str">
        <x:f>"GTIN: 7898470683808"</x:f>
        <x:v>GTIN: 7898470683808</x:v>
      </x:c>
      <x:c r="N236" s="28" t="str">
        <x:f>"30049099"</x:f>
        <x:v>30049099</x:v>
      </x:c>
      <x:c r="O236" s="29" t="n">
        <x:v>0.53</x:v>
      </x:c>
      <x:c r="P236" s="29" t="n">
        <x:v>0.79</x:v>
      </x:c>
      <x:c r="Q236" s="28" t="str">
        <x:f>"391 | 392"</x:f>
        <x:v>391 | 392</x:v>
      </x:c>
      <x:c r="R236" s="28" t="str">
        <x:f>"DS10001 | DS50001"</x:f>
        <x:v>DS10001 | DS50001</x:v>
      </x:c>
      <x:c r="S236" s="22" t="str">
        <x:v>varios codigos legados consolidados em um produto; GTIN repetido em produtos distintos</x:v>
      </x:c>
      <x:c r="T236" s="22" t="str">
        <x:v>DIPIRONA SODICA - 500MG/ML | 500MG | 2ML - UNIDADE - AP | CX/100 | UN - SANTISA</x:v>
      </x:c>
      <x:c r="U236" s="27" t="str"/>
      <x:c r="V236" s="27" t="str"/>
    </x:row>
    <x:row r="237">
      <x:c r="A237" s="28" t="str">
        <x:f>"G-144"</x:f>
        <x:v>G-144</x:v>
      </x:c>
      <x:c r="B237" s="22" t="str">
        <x:v>EQUIPO MACROGOTAS INJ LATERAL LUER LOCK</x:v>
      </x:c>
      <x:c r="C237" s="22" t="str">
        <x:v>BAIXO</x:v>
      </x:c>
      <x:c r="D237" s="22" t="str">
        <x:v>REVISAR possível duplicidade</x:v>
      </x:c>
      <x:c r="E237" s="28" t="str">
        <x:f>"EMC0006"</x:f>
        <x:v>EMC0006</x:v>
      </x:c>
      <x:c r="F237" s="22" t="str">
        <x:v>EQUIPO MACROGOTAS C/INJ LATERAL LUER LOCK - PCT/25 - LABOR IMPORT</x:v>
      </x:c>
      <x:c r="G237" s="22" t="str">
        <x:v>EQUIPO MACROGOTAS INJ LATERAL LUER LOCK</x:v>
      </x:c>
      <x:c r="H237" s="22" t="str"/>
      <x:c r="I237" s="22" t="str"/>
      <x:c r="J237" s="22" t="str">
        <x:v>PCT/25 | PCT | CONTEUDO25 | FATOR25</x:v>
      </x:c>
      <x:c r="K237" s="22" t="str">
        <x:v>OUTRA</x:v>
      </x:c>
      <x:c r="L237" s="22" t="str">
        <x:v>LABOR IMPORT</x:v>
      </x:c>
      <x:c r="M237" s="28" t="str"/>
      <x:c r="N237" s="28" t="str">
        <x:f>"90189010"</x:f>
        <x:v>90189010</x:v>
      </x:c>
      <x:c r="O237" s="29" t="n">
        <x:v>1.1</x:v>
      </x:c>
      <x:c r="P237" s="29" t="n">
        <x:v>1.97</x:v>
      </x:c>
      <x:c r="Q237" s="28" t="str">
        <x:f>"419"</x:f>
        <x:v>419</x:v>
      </x:c>
      <x:c r="R237" s="28" t="str">
        <x:f>"EMC0006"</x:f>
        <x:v>EMC0006</x:v>
      </x:c>
      <x:c r="S237" s="22" t="str">
        <x:v>GTIN ausente ou invalido</x:v>
      </x:c>
      <x:c r="T237" s="22" t="str">
        <x:v>EQUIPO MACROGOTAS INJ LATERAL LUER LOCK - OUTRA - PCT/25 | PCT | CONTEUDO25 | FATOR25 - LABOR IMPORT</x:v>
      </x:c>
      <x:c r="U237" s="27" t="str"/>
      <x:c r="V237" s="27" t="str"/>
    </x:row>
    <x:row r="238">
      <x:c r="A238" s="28" t="str">
        <x:f>"G-144"</x:f>
        <x:v>G-144</x:v>
      </x:c>
      <x:c r="B238" s="22" t="str">
        <x:v>EQUIPO MACROGOTAS INJ LATERAL LUER LOCK</x:v>
      </x:c>
      <x:c r="C238" s="22" t="str">
        <x:v>BAIXO</x:v>
      </x:c>
      <x:c r="D238" s="22" t="str">
        <x:v>REVISAR possível duplicidade</x:v>
      </x:c>
      <x:c r="E238" s="28" t="str">
        <x:f>"EMC0004"</x:f>
        <x:v>EMC0004</x:v>
      </x:c>
      <x:c r="F238" s="22" t="str">
        <x:v>EQUIPO MACROGOTAS C/INJ LATERAL LUER LOCK PCT/25 DESCARPACK</x:v>
      </x:c>
      <x:c r="G238" s="22" t="str">
        <x:v>EQUIPO MACROGOTAS INJ LATERAL LUER LOCK</x:v>
      </x:c>
      <x:c r="H238" s="22" t="str"/>
      <x:c r="I238" s="22" t="str"/>
      <x:c r="J238" s="22" t="str">
        <x:v>PCT/25 | PCT | CONTEUDO25 | FATOR25</x:v>
      </x:c>
      <x:c r="K238" s="22" t="str">
        <x:v>OUTRA</x:v>
      </x:c>
      <x:c r="L238" s="22" t="str">
        <x:v>DESCARPACK</x:v>
      </x:c>
      <x:c r="M238" s="28" t="str">
        <x:f>"GTIN: 7898283818633"</x:f>
        <x:v>GTIN: 7898283818633</x:v>
      </x:c>
      <x:c r="N238" s="28" t="str">
        <x:f>"90189010"</x:f>
        <x:v>90189010</x:v>
      </x:c>
      <x:c r="O238" s="29" t="n">
        <x:v>1.05</x:v>
      </x:c>
      <x:c r="P238" s="29" t="n">
        <x:v>1.68</x:v>
      </x:c>
      <x:c r="Q238" s="28" t="str">
        <x:f>"420"</x:f>
        <x:v>420</x:v>
      </x:c>
      <x:c r="R238" s="28" t="str">
        <x:f>"EMC0004"</x:f>
        <x:v>EMC0004</x:v>
      </x:c>
      <x:c r="S238" s="22" t="str">
        <x:v>GTIN repetido em produtos distintos</x:v>
      </x:c>
      <x:c r="T238" s="22" t="str">
        <x:v>EQUIPO MACROGOTAS INJ LATERAL LUER LOCK - OUTRA - PCT/25 | PCT | CONTEUDO25 | FATOR25 - DESCARPACK</x:v>
      </x:c>
      <x:c r="U238" s="27" t="str"/>
      <x:c r="V238" s="27" t="str"/>
    </x:row>
    <x:row r="239">
      <x:c r="A239" s="28" t="str">
        <x:f>"G-145"</x:f>
        <x:v>G-145</x:v>
      </x:c>
      <x:c r="B239" s="22" t="str">
        <x:v>EQUIPO MACROGOTAS INJ LATERAL LUER SLIP</x:v>
      </x:c>
      <x:c r="C239" s="22" t="str">
        <x:v>BAIXO</x:v>
      </x:c>
      <x:c r="D239" s="22" t="str">
        <x:v>REVISAR possível duplicidade</x:v>
      </x:c>
      <x:c r="E239" s="28" t="str">
        <x:f>"EMC0003"</x:f>
        <x:v>EMC0003</x:v>
      </x:c>
      <x:c r="F239" s="22" t="str">
        <x:v>EQUIPO MACROGOTAS C/INJ LATERAL LUER SLIP PCT/25 - MEDIX</x:v>
      </x:c>
      <x:c r="G239" s="22" t="str">
        <x:v>EQUIPO MACROGOTAS INJ LATERAL LUER SLIP</x:v>
      </x:c>
      <x:c r="H239" s="22" t="str"/>
      <x:c r="I239" s="22" t="str"/>
      <x:c r="J239" s="22" t="str">
        <x:v>PCT/25 | PCT | CONTEUDO25 | FATOR25</x:v>
      </x:c>
      <x:c r="K239" s="22" t="str">
        <x:v>OUTRA</x:v>
      </x:c>
      <x:c r="L239" s="22" t="str">
        <x:v>MEDIX</x:v>
      </x:c>
      <x:c r="M239" s="28" t="str">
        <x:f>"GTIN: 7898283818633"</x:f>
        <x:v>GTIN: 7898283818633</x:v>
      </x:c>
      <x:c r="N239" s="28" t="str">
        <x:f>"90189010"</x:f>
        <x:v>90189010</x:v>
      </x:c>
      <x:c r="O239" s="29" t="n">
        <x:v>1.05</x:v>
      </x:c>
      <x:c r="P239" s="29" t="n">
        <x:v>1.68</x:v>
      </x:c>
      <x:c r="Q239" s="28" t="str">
        <x:f>"421"</x:f>
        <x:v>421</x:v>
      </x:c>
      <x:c r="R239" s="28" t="str">
        <x:f>"EMC0003"</x:f>
        <x:v>EMC0003</x:v>
      </x:c>
      <x:c r="S239" s="22" t="str">
        <x:v>GTIN repetido em produtos distintos</x:v>
      </x:c>
      <x:c r="T239" s="22" t="str">
        <x:v>EQUIPO MACROGOTAS INJ LATERAL LUER SLIP - OUTRA - PCT/25 | PCT | CONTEUDO25 | FATOR25 - MEDIX</x:v>
      </x:c>
      <x:c r="U239" s="27" t="str"/>
      <x:c r="V239" s="27" t="str"/>
    </x:row>
    <x:row r="240">
      <x:c r="A240" s="28" t="str">
        <x:f>"G-145"</x:f>
        <x:v>G-145</x:v>
      </x:c>
      <x:c r="B240" s="22" t="str">
        <x:v>EQUIPO MACROGOTAS INJ LATERAL LUER SLIP</x:v>
      </x:c>
      <x:c r="C240" s="22" t="str">
        <x:v>BAIXO</x:v>
      </x:c>
      <x:c r="D240" s="22" t="str">
        <x:v>REVISAR possível duplicidade</x:v>
      </x:c>
      <x:c r="E240" s="28" t="str">
        <x:f>"EMC0001"</x:f>
        <x:v>EMC0001</x:v>
      </x:c>
      <x:c r="F240" s="22" t="str">
        <x:v>EQUIPO MACROGOTAS C/INJ LATERAL LUER SLIP PCT/25 DESCARPACK</x:v>
      </x:c>
      <x:c r="G240" s="22" t="str">
        <x:v>EQUIPO MACROGOTAS INJ LATERAL LUER SLIP</x:v>
      </x:c>
      <x:c r="H240" s="22" t="str"/>
      <x:c r="I240" s="22" t="str"/>
      <x:c r="J240" s="22" t="str">
        <x:v>PCT/25 | PCT | CONTEUDO25 | FATOR25</x:v>
      </x:c>
      <x:c r="K240" s="22" t="str">
        <x:v>OUTRA</x:v>
      </x:c>
      <x:c r="L240" s="22" t="str">
        <x:v>DESCARPACK</x:v>
      </x:c>
      <x:c r="M240" s="28" t="str">
        <x:f>"GTIN: 7898283818633"</x:f>
        <x:v>GTIN: 7898283818633</x:v>
      </x:c>
      <x:c r="N240" s="28" t="str">
        <x:f>"90189010"</x:f>
        <x:v>90189010</x:v>
      </x:c>
      <x:c r="O240" s="29" t="n">
        <x:v>1.05</x:v>
      </x:c>
      <x:c r="P240" s="29" t="n">
        <x:v>1.68</x:v>
      </x:c>
      <x:c r="Q240" s="28" t="str">
        <x:f>"422"</x:f>
        <x:v>422</x:v>
      </x:c>
      <x:c r="R240" s="28" t="str">
        <x:f>"EMC0001"</x:f>
        <x:v>EMC0001</x:v>
      </x:c>
      <x:c r="S240" s="22" t="str">
        <x:v>GTIN repetido em produtos distintos</x:v>
      </x:c>
      <x:c r="T240" s="22" t="str">
        <x:v>EQUIPO MACROGOTAS INJ LATERAL LUER SLIP - OUTRA - PCT/25 | PCT | CONTEUDO25 | FATOR25 - DESCARPACK</x:v>
      </x:c>
      <x:c r="U240" s="27" t="str"/>
      <x:c r="V240" s="27" t="str"/>
    </x:row>
    <x:row r="241">
      <x:c r="A241" s="28" t="str">
        <x:f>"G-140"</x:f>
        <x:v>G-140</x:v>
      </x:c>
      <x:c r="B241" s="22" t="str">
        <x:v>EQUIPO NUTRICAO BOMBA INFUSUSORA COD</x:v>
      </x:c>
      <x:c r="C241" s="22" t="str">
        <x:v>BAIXO</x:v>
      </x:c>
      <x:c r="D241" s="22" t="str">
        <x:v>REVISAR possível duplicidade</x:v>
      </x:c>
      <x:c r="E241" s="28" t="str">
        <x:f>"ENP0002"</x:f>
        <x:v>ENP0002</x:v>
      </x:c>
      <x:c r="F241" s="22" t="str">
        <x:v>EQUIPO DE NUTRIÇÃO P/ BOMBA DE INFUSUSORA (NUTRI-HART PLUS 2 VIAS) - CX/50 - HARTMANN CÓD.150.138</x:v>
      </x:c>
      <x:c r="G241" s="22" t="str">
        <x:v>EQUIPO NUTRICAO BOMBA INFUSUSORA COD</x:v>
      </x:c>
      <x:c r="H241" s="22" t="str"/>
      <x:c r="I241" s="22" t="str"/>
      <x:c r="J241" s="22" t="str">
        <x:v>CX/50 | CX | CONTEUDO50 | FATOR50</x:v>
      </x:c>
      <x:c r="K241" s="22" t="str">
        <x:v>CAIXA</x:v>
      </x:c>
      <x:c r="L241" s="22" t="str">
        <x:v>HARTMANN</x:v>
      </x:c>
      <x:c r="M241" s="28" t="str">
        <x:f>"GTIN: 7898468471264"</x:f>
        <x:v>GTIN: 7898468471264</x:v>
      </x:c>
      <x:c r="N241" s="28" t="str">
        <x:f>"90189010"</x:f>
        <x:v>90189010</x:v>
      </x:c>
      <x:c r="O241" s="29" t="n">
        <x:v>13.5</x:v>
      </x:c>
      <x:c r="P241" s="29" t="n">
        <x:v>26.9</x:v>
      </x:c>
      <x:c r="Q241" s="28" t="str">
        <x:f>"414"</x:f>
        <x:v>414</x:v>
      </x:c>
      <x:c r="R241" s="28" t="str">
        <x:f>"ENP0002"</x:f>
        <x:v>ENP0002</x:v>
      </x:c>
      <x:c r="S241" s="22" t="str"/>
      <x:c r="T241" s="22" t="str">
        <x:v>EQUIPO NUTRICAO BOMBA INFUSUSORA COD - CAIXA - CX/50 | CX | CONTEUDO50 | FATOR50 - HARTMANN</x:v>
      </x:c>
      <x:c r="U241" s="27" t="str"/>
      <x:c r="V241" s="27" t="str"/>
    </x:row>
    <x:row r="242">
      <x:c r="A242" s="28" t="str">
        <x:f>"G-140"</x:f>
        <x:v>G-140</x:v>
      </x:c>
      <x:c r="B242" s="22" t="str">
        <x:v>EQUIPO NUTRICAO BOMBA INFUSUSORA COD</x:v>
      </x:c>
      <x:c r="C242" s="22" t="str">
        <x:v>BAIXO</x:v>
      </x:c>
      <x:c r="D242" s="22" t="str">
        <x:v>REVISAR possível duplicidade</x:v>
      </x:c>
      <x:c r="E242" s="28" t="str">
        <x:f>"ENP0001"</x:f>
        <x:v>ENP0001</x:v>
      </x:c>
      <x:c r="F242" s="22" t="str">
        <x:v>EQUIPO DE NUTRIÇÃO P/ BOMBA DE INFUSUSORA (NUTRI-HART PLUS 2 VIAS) - CX/50 - HARTMANN CÓD.171.110</x:v>
      </x:c>
      <x:c r="G242" s="22" t="str">
        <x:v>EQUIPO NUTRICAO BOMBA INFUSUSORA COD</x:v>
      </x:c>
      <x:c r="H242" s="22" t="str"/>
      <x:c r="I242" s="22" t="str"/>
      <x:c r="J242" s="22" t="str">
        <x:v>CX/50 | CX | CONTEUDO50 | FATOR50</x:v>
      </x:c>
      <x:c r="K242" s="22" t="str">
        <x:v>CAIXA</x:v>
      </x:c>
      <x:c r="L242" s="22" t="str">
        <x:v>HARTMANN</x:v>
      </x:c>
      <x:c r="M242" s="28" t="str">
        <x:f>"GTIN: 7892905914703"</x:f>
        <x:v>GTIN: 7892905914703</x:v>
      </x:c>
      <x:c r="N242" s="28" t="str">
        <x:f>"84439931"</x:f>
        <x:v>84439931</x:v>
      </x:c>
      <x:c r="O242" s="29" t="n">
        <x:v>13.5</x:v>
      </x:c>
      <x:c r="P242" s="29" t="n">
        <x:v>26.9</x:v>
      </x:c>
      <x:c r="Q242" s="28" t="str">
        <x:f>"415"</x:f>
        <x:v>415</x:v>
      </x:c>
      <x:c r="R242" s="28" t="str">
        <x:f>"ENP0001"</x:f>
        <x:v>ENP0001</x:v>
      </x:c>
      <x:c r="S242" s="22" t="str"/>
      <x:c r="T242" s="22" t="str">
        <x:v>EQUIPO NUTRICAO BOMBA INFUSUSORA COD - CAIXA - CX/50 | CX | CONTEUDO50 | FATOR50 - HARTMANN</x:v>
      </x:c>
      <x:c r="U242" s="27" t="str"/>
      <x:c r="V242" s="27" t="str"/>
    </x:row>
    <x:row r="243">
      <x:c r="A243" s="28" t="str">
        <x:f>"G-150"</x:f>
        <x:v>G-150</x:v>
      </x:c>
      <x:c r="B243" s="22" t="str">
        <x:v>ESPARADRAPO IMPERMEAVEL 10CMX4 5M</x:v>
      </x:c>
      <x:c r="C243" s="22" t="str">
        <x:v>BAIXO</x:v>
      </x:c>
      <x:c r="D243" s="22" t="str">
        <x:v>REVISAR possível duplicidade</x:v>
      </x:c>
      <x:c r="E243" s="28" t="str">
        <x:f>"EI10001"</x:f>
        <x:v>EI10001</x:v>
      </x:c>
      <x:c r="F243" s="22" t="str">
        <x:v>ESPARADRAPO IMPERMEÁVEL 10CMX4,5M - HAIBRETH</x:v>
      </x:c>
      <x:c r="G243" s="22" t="str">
        <x:v>ESPARADRAPO IMPERMEAVEL 10CMX4 5M</x:v>
      </x:c>
      <x:c r="H243" s="22" t="str"/>
      <x:c r="I243" s="22" t="str"/>
      <x:c r="J243" s="22" t="str">
        <x:v>CX | CONTEUDO24 | FATOR24</x:v>
      </x:c>
      <x:c r="K243" s="22" t="str">
        <x:v>CAIXA</x:v>
      </x:c>
      <x:c r="L243" s="22" t="str">
        <x:v>HAIBRETH</x:v>
      </x:c>
      <x:c r="M243" s="28" t="str"/>
      <x:c r="N243" s="28" t="str">
        <x:f>"30051090"</x:f>
        <x:v>30051090</x:v>
      </x:c>
      <x:c r="O243" s="29" t="n">
        <x:v>3</x:v>
      </x:c>
      <x:c r="P243" s="29" t="n">
        <x:v>8.5</x:v>
      </x:c>
      <x:c r="Q243" s="28" t="str">
        <x:f>"427"</x:f>
        <x:v>427</x:v>
      </x:c>
      <x:c r="R243" s="28" t="str">
        <x:f>"EI10001"</x:f>
        <x:v>EI10001</x:v>
      </x:c>
      <x:c r="S243" s="22" t="str">
        <x:v>GTIN ausente ou invalido</x:v>
      </x:c>
      <x:c r="T243" s="22" t="str">
        <x:v>ESPARADRAPO IMPERMEAVEL 10CMX4 5M - CAIXA - CX | CONTEUDO24 | FATOR24 - HAIBRETH</x:v>
      </x:c>
      <x:c r="U243" s="27" t="str"/>
      <x:c r="V243" s="27" t="str"/>
    </x:row>
    <x:row r="244">
      <x:c r="A244" s="28" t="str">
        <x:f>"G-150"</x:f>
        <x:v>G-150</x:v>
      </x:c>
      <x:c r="B244" s="22" t="str">
        <x:v>ESPARADRAPO IMPERMEAVEL 10CMX4 5M</x:v>
      </x:c>
      <x:c r="C244" s="22" t="str">
        <x:v>BAIXO</x:v>
      </x:c>
      <x:c r="D244" s="22" t="str">
        <x:v>REVISAR possível duplicidade</x:v>
      </x:c>
      <x:c r="E244" s="28" t="str">
        <x:f>"EI50001"</x:f>
        <x:v>EI50001</x:v>
      </x:c>
      <x:c r="F244" s="22" t="str">
        <x:v>ESPARADRAPO IMPERMEÁVEL 10CMX4,5M - MISSNER</x:v>
      </x:c>
      <x:c r="G244" s="22" t="str">
        <x:v>ESPARADRAPO IMPERMEAVEL 10CMX4 5M</x:v>
      </x:c>
      <x:c r="H244" s="22" t="str"/>
      <x:c r="I244" s="22" t="str"/>
      <x:c r="J244" s="22" t="str">
        <x:v>CX | CONTEUDO24 | FATOR24</x:v>
      </x:c>
      <x:c r="K244" s="22" t="str">
        <x:v>CAIXA</x:v>
      </x:c>
      <x:c r="L244" s="22" t="str">
        <x:v>MISSNER</x:v>
      </x:c>
      <x:c r="M244" s="28" t="str">
        <x:f>"GTIN: 7908414483804"</x:f>
        <x:v>GTIN: 7908414483804</x:v>
      </x:c>
      <x:c r="N244" s="28" t="str">
        <x:f>"30051090"</x:f>
        <x:v>30051090</x:v>
      </x:c>
      <x:c r="O244" s="29" t="n">
        <x:v>3</x:v>
      </x:c>
      <x:c r="P244" s="29" t="n">
        <x:v>8.5</x:v>
      </x:c>
      <x:c r="Q244" s="28" t="str">
        <x:f>"428"</x:f>
        <x:v>428</x:v>
      </x:c>
      <x:c r="R244" s="28" t="str">
        <x:f>"EI50001"</x:f>
        <x:v>EI50001</x:v>
      </x:c>
      <x:c r="S244" s="22" t="str"/>
      <x:c r="T244" s="22" t="str">
        <x:v>ESPARADRAPO IMPERMEAVEL 10CMX4 5M - CAIXA - CX | CONTEUDO24 | FATOR24 - MISSNER</x:v>
      </x:c>
      <x:c r="U244" s="27" t="str"/>
      <x:c r="V244" s="27" t="str"/>
    </x:row>
    <x:row r="245">
      <x:c r="A245" s="28" t="str">
        <x:f>"G-153"</x:f>
        <x:v>G-153</x:v>
      </x:c>
      <x:c r="B245" s="22" t="str">
        <x:v>ESPONJA HEMOSTATICA</x:v>
      </x:c>
      <x:c r="C245" s="22" t="str">
        <x:v>BAIXO</x:v>
      </x:c>
      <x:c r="D245" s="22" t="str">
        <x:v>REVISAR possível duplicidade</x:v>
      </x:c>
      <x:c r="E245" s="28" t="str">
        <x:f>"EH10001"</x:f>
        <x:v>EH10001</x:v>
      </x:c>
      <x:c r="F245" s="22" t="str">
        <x:v>ESPONJA HEMOSTATICA 125X80X10MM - CUTANPLAST</x:v>
      </x:c>
      <x:c r="G245" s="22" t="str">
        <x:v>ESPONJA HEMOSTATICA</x:v>
      </x:c>
      <x:c r="H245" s="22" t="str"/>
      <x:c r="I245" s="22" t="str">
        <x:v>125X80X10MM</x:v>
      </x:c>
      <x:c r="J245" s="22" t="str">
        <x:v>UND</x:v>
      </x:c>
      <x:c r="K245" s="22" t="str">
        <x:v>UNIDADE</x:v>
      </x:c>
      <x:c r="L245" s="22" t="str">
        <x:v>CUTANPLAST</x:v>
      </x:c>
      <x:c r="M245" s="28" t="str">
        <x:f>"GTIN: 7898254941919"</x:f>
        <x:v>GTIN: 7898254941919</x:v>
      </x:c>
      <x:c r="N245" s="28" t="str">
        <x:f>"30061090"</x:f>
        <x:v>30061090</x:v>
      </x:c>
      <x:c r="O245" s="29" t="n">
        <x:v>15</x:v>
      </x:c>
      <x:c r="P245" s="29" t="n">
        <x:v>35</x:v>
      </x:c>
      <x:c r="Q245" s="28" t="str">
        <x:f>"431"</x:f>
        <x:v>431</x:v>
      </x:c>
      <x:c r="R245" s="28" t="str">
        <x:f>"EH10001"</x:f>
        <x:v>EH10001</x:v>
      </x:c>
      <x:c r="S245" s="22" t="str">
        <x:v>GTIN repetido em produtos distintos</x:v>
      </x:c>
      <x:c r="T245" s="22" t="str">
        <x:v>ESPONJA HEMOSTATICA - 125X80X10MM - UNIDADE - UND - CUTANPLAST</x:v>
      </x:c>
      <x:c r="U245" s="27" t="str"/>
      <x:c r="V245" s="27" t="str"/>
    </x:row>
    <x:row r="246">
      <x:c r="A246" s="28" t="str">
        <x:f>"G-153"</x:f>
        <x:v>G-153</x:v>
      </x:c>
      <x:c r="B246" s="22" t="str">
        <x:v>ESPONJA HEMOSTATICA</x:v>
      </x:c>
      <x:c r="C246" s="22" t="str">
        <x:v>BAIXO</x:v>
      </x:c>
      <x:c r="D246" s="22" t="str">
        <x:v>REVISAR possível duplicidade</x:v>
      </x:c>
      <x:c r="E246" s="28" t="str">
        <x:f>"EH10006"</x:f>
        <x:v>EH10006</x:v>
      </x:c>
      <x:c r="F246" s="22" t="str">
        <x:v>ESPONJA HEMOSTATICA 125X80X10MM - MAQUIRA (HEMOSPON)</x:v>
      </x:c>
      <x:c r="G246" s="22" t="str">
        <x:v>ESPONJA HEMOSTATICA</x:v>
      </x:c>
      <x:c r="H246" s="22" t="str"/>
      <x:c r="I246" s="22" t="str">
        <x:v>125X80X10MM</x:v>
      </x:c>
      <x:c r="J246" s="22" t="str">
        <x:v>UND</x:v>
      </x:c>
      <x:c r="K246" s="22" t="str">
        <x:v>UNIDADE</x:v>
      </x:c>
      <x:c r="L246" s="22" t="str">
        <x:v>MAQUIRA</x:v>
      </x:c>
      <x:c r="M246" s="28" t="str">
        <x:f>"GTIN: 7898254941919"</x:f>
        <x:v>GTIN: 7898254941919</x:v>
      </x:c>
      <x:c r="N246" s="28" t="str">
        <x:f>"30061090"</x:f>
        <x:v>30061090</x:v>
      </x:c>
      <x:c r="O246" s="29" t="n">
        <x:v>15</x:v>
      </x:c>
      <x:c r="P246" s="29" t="n">
        <x:v>35</x:v>
      </x:c>
      <x:c r="Q246" s="28" t="str">
        <x:f>"432 | 433 | 434 | 435 | 436 | 437 | 438 | 439 | 440 | 441 | 442 | 443 | 444 | 445 | 446 | 447 | 448"</x:f>
        <x:v>432 | 433 | 434 | 435 | 436 | 437 | 438 | 439 | 440 | 441 | 442 | 443 | 444 | 445 | 446 | 447 | 448</x:v>
      </x:c>
      <x:c r="R246" s="28" t="str">
        <x:f>"EHH0009 | EH10006 | EHH0007 | EHH0018 | EHH0016 | EHH0014 | EHH0006 | EHH0017 | EHH0013 | EHH0012 | EHH0010 | EHH0004 | EH10003 | EHH0019 | EH10004 | EHH0008 | EHH0011"</x:f>
        <x:v>EHH0009 | EH10006 | EHH0007 | EHH0018 | EHH0016 | EHH0014 | EHH0006 | EHH0017 | EHH0013 | EHH0012 | EHH0010 | EHH0004 | EH10003 | EHH0019 | EH10004 | EHH0008 | EHH0011</x:v>
      </x:c>
      <x:c r="S246" s="22" t="str">
        <x:v>varios codigos legados consolidados em um produto; GTIN repetido em produtos distintos; unidade/embalagem divergente</x:v>
      </x:c>
      <x:c r="T246" s="22" t="str">
        <x:v>ESPONJA HEMOSTATICA - 125X80X10MM - UNIDADE - UND - MAQUIRA</x:v>
      </x:c>
      <x:c r="U246" s="27" t="str"/>
      <x:c r="V246" s="27" t="str"/>
    </x:row>
    <x:row r="247">
      <x:c r="A247" s="28" t="str">
        <x:f>"G-177"</x:f>
        <x:v>G-177</x:v>
      </x:c>
      <x:c r="B247" s="22" t="str">
        <x:v>HEMITARTARATO NOREPINEFRINA</x:v>
      </x:c>
      <x:c r="C247" s="22" t="str">
        <x:v>BAIXO</x:v>
      </x:c>
      <x:c r="D247" s="22" t="str">
        <x:v>REVISAR possível duplicidade</x:v>
      </x:c>
      <x:c r="E247" s="28" t="str">
        <x:f>"HN20002"</x:f>
        <x:v>HN20002</x:v>
      </x:c>
      <x:c r="F247" s="22" t="str">
        <x:v>HEMITARTARATO DE NOREPINEFRINA 2MG/ML FR 4ML - HIPOLABOR - CX/50</x:v>
      </x:c>
      <x:c r="G247" s="22" t="str">
        <x:v>HEMITARTARATO NOREPINEFRINA</x:v>
      </x:c>
      <x:c r="H247" s="22" t="str">
        <x:v>2MG/ML | 2MG | 4ML</x:v>
      </x:c>
      <x:c r="I247" s="22" t="str"/>
      <x:c r="J247" s="22" t="str">
        <x:v>FR | CX/50 | CX | CONTEUDO50 | FATOR50</x:v>
      </x:c>
      <x:c r="K247" s="22" t="str">
        <x:v>CAIXA</x:v>
      </x:c>
      <x:c r="L247" s="22" t="str">
        <x:v>HIPOLABOR</x:v>
      </x:c>
      <x:c r="M247" s="28" t="str"/>
      <x:c r="N247" s="28" t="str">
        <x:f>"30043999"</x:f>
        <x:v>30043999</x:v>
      </x:c>
      <x:c r="O247" s="29" t="n">
        <x:v>1</x:v>
      </x:c>
      <x:c r="P247" s="29" t="n">
        <x:v>1.9</x:v>
      </x:c>
      <x:c r="Q247" s="28" t="str">
        <x:f>"482"</x:f>
        <x:v>482</x:v>
      </x:c>
      <x:c r="R247" s="28" t="str">
        <x:f>"HN20002"</x:f>
        <x:v>HN20002</x:v>
      </x:c>
      <x:c r="S247" s="22" t="str">
        <x:v>GTIN ausente ou invalido</x:v>
      </x:c>
      <x:c r="T247" s="22" t="str">
        <x:v>HEMITARTARATO NOREPINEFRINA - 2MG/ML | 2MG | 4ML - CAIXA - FR | CX/50 | CX | CONTEUDO50 | FATOR50 - HIPOLABOR</x:v>
      </x:c>
      <x:c r="U247" s="27" t="str"/>
      <x:c r="V247" s="27" t="str"/>
    </x:row>
    <x:row r="248">
      <x:c r="A248" s="28" t="str">
        <x:f>"G-177"</x:f>
        <x:v>G-177</x:v>
      </x:c>
      <x:c r="B248" s="22" t="str">
        <x:v>HEMITARTARATO NOREPINEFRINA</x:v>
      </x:c>
      <x:c r="C248" s="22" t="str">
        <x:v>BAIXO</x:v>
      </x:c>
      <x:c r="D248" s="22" t="str">
        <x:v>REVISAR possível duplicidade</x:v>
      </x:c>
      <x:c r="E248" s="28" t="str">
        <x:f>"HN20001"</x:f>
        <x:v>HN20001</x:v>
      </x:c>
      <x:c r="F248" s="22" t="str">
        <x:v>HEMITARTARATO DE NOREPINEFRINA 2MG/ML FR 4ML - HYPOFARMA - CX/50</x:v>
      </x:c>
      <x:c r="G248" s="22" t="str">
        <x:v>HEMITARTARATO NOREPINEFRINA</x:v>
      </x:c>
      <x:c r="H248" s="22" t="str">
        <x:v>2MG/ML | 2MG | 4ML</x:v>
      </x:c>
      <x:c r="I248" s="22" t="str"/>
      <x:c r="J248" s="22" t="str">
        <x:v>FR | CX/50 | CX | CONTEUDO50 | FATOR50</x:v>
      </x:c>
      <x:c r="K248" s="22" t="str">
        <x:v>CAIXA</x:v>
      </x:c>
      <x:c r="L248" s="22" t="str">
        <x:v>HYPOFARMA</x:v>
      </x:c>
      <x:c r="M248" s="28" t="str">
        <x:f>"GTIN: 7891008759099"</x:f>
        <x:v>GTIN: 7891008759099</x:v>
      </x:c>
      <x:c r="N248" s="28" t="str">
        <x:f>"30043999"</x:f>
        <x:v>30043999</x:v>
      </x:c>
      <x:c r="O248" s="29" t="n">
        <x:v>1</x:v>
      </x:c>
      <x:c r="P248" s="29" t="n">
        <x:v>1.9</x:v>
      </x:c>
      <x:c r="Q248" s="28" t="str">
        <x:f>"483 | 484"</x:f>
        <x:v>483 | 484</x:v>
      </x:c>
      <x:c r="R248" s="28" t="str">
        <x:f>"HN20001 | N8H0002"</x:f>
        <x:v>HN20001 | N8H0002</x:v>
      </x:c>
      <x:c r="S248" s="22" t="str">
        <x:v>varios codigos legados consolidados em um produto; custo divergente entre lotes</x:v>
      </x:c>
      <x:c r="T248" s="22" t="str">
        <x:v>HEMITARTARATO NOREPINEFRINA - 2MG/ML | 2MG | 4ML - CAIXA - FR | CX/50 | CX | CONTEUDO50 | FATOR50 - HYPOFARMA</x:v>
      </x:c>
      <x:c r="U248" s="27" t="str"/>
      <x:c r="V248" s="27" t="str"/>
    </x:row>
    <x:row r="249">
      <x:c r="A249" s="28" t="str">
        <x:f>"G-181"</x:f>
        <x:v>G-181</x:v>
      </x:c>
      <x:c r="B249" s="22" t="str">
        <x:v>HIPOCLORITO SODIO</x:v>
      </x:c>
      <x:c r="C249" s="22" t="str">
        <x:v>BAIXO</x:v>
      </x:c>
      <x:c r="D249" s="22" t="str">
        <x:v>REVISAR possível duplicidade</x:v>
      </x:c>
      <x:c r="E249" s="28" t="str">
        <x:f>"HS10001"</x:f>
        <x:v>HS10001</x:v>
      </x:c>
      <x:c r="F249" s="22" t="str">
        <x:v>HIPOCLORITO DE SODIO 1% 5L CORDEX</x:v>
      </x:c>
      <x:c r="G249" s="22" t="str">
        <x:v>HIPOCLORITO SODIO %</x:v>
      </x:c>
      <x:c r="H249" s="22" t="str">
        <x:v>5L</x:v>
      </x:c>
      <x:c r="I249" s="22" t="str"/>
      <x:c r="J249" s="22" t="str">
        <x:v>UND</x:v>
      </x:c>
      <x:c r="K249" s="22" t="str">
        <x:v>UNIDADE</x:v>
      </x:c>
      <x:c r="L249" s="22" t="str">
        <x:v>CORDEX</x:v>
      </x:c>
      <x:c r="M249" s="28" t="str">
        <x:f>"GTIN: 7897534817241"</x:f>
        <x:v>GTIN: 7897534817241</x:v>
      </x:c>
      <x:c r="N249" s="28" t="str">
        <x:f>"28289011"</x:f>
        <x:v>28289011</x:v>
      </x:c>
      <x:c r="O249" s="29" t="n">
        <x:v>7.19</x:v>
      </x:c>
      <x:c r="P249" s="29" t="n">
        <x:v>23.5</x:v>
      </x:c>
      <x:c r="Q249" s="28" t="str">
        <x:f>"502"</x:f>
        <x:v>502</x:v>
      </x:c>
      <x:c r="R249" s="28" t="str">
        <x:f>"HS10001"</x:f>
        <x:v>HS10001</x:v>
      </x:c>
      <x:c r="S249" s="22" t="str"/>
      <x:c r="T249" s="22" t="str">
        <x:v>HIPOCLORITO SODIO % - 5L - UNIDADE - UND - CORDEX</x:v>
      </x:c>
      <x:c r="U249" s="27" t="str"/>
      <x:c r="V249" s="27" t="str"/>
    </x:row>
    <x:row r="250">
      <x:c r="A250" s="28" t="str">
        <x:f>"G-181"</x:f>
        <x:v>G-181</x:v>
      </x:c>
      <x:c r="B250" s="22" t="str">
        <x:v>HIPOCLORITO SODIO</x:v>
      </x:c>
      <x:c r="C250" s="22" t="str">
        <x:v>BAIXO</x:v>
      </x:c>
      <x:c r="D250" s="22" t="str">
        <x:v>REVISAR possível duplicidade</x:v>
      </x:c>
      <x:c r="E250" s="28" t="str">
        <x:f>"HS10002"</x:f>
        <x:v>HS10002</x:v>
      </x:c>
      <x:c r="F250" s="22" t="str">
        <x:v>HIPOCLORITO DE SODIO 5% 5L CORDEX</x:v>
      </x:c>
      <x:c r="G250" s="22" t="str">
        <x:v>HIPOCLORITO SODIO %</x:v>
      </x:c>
      <x:c r="H250" s="22" t="str">
        <x:v>5L</x:v>
      </x:c>
      <x:c r="I250" s="22" t="str"/>
      <x:c r="J250" s="22" t="str">
        <x:v>UND</x:v>
      </x:c>
      <x:c r="K250" s="22" t="str">
        <x:v>UNIDADE</x:v>
      </x:c>
      <x:c r="L250" s="22" t="str">
        <x:v>CORDEX</x:v>
      </x:c>
      <x:c r="M250" s="28" t="str">
        <x:f>"GTIN: 7890000192484"</x:f>
        <x:v>GTIN: 7890000192484</x:v>
      </x:c>
      <x:c r="N250" s="28" t="str">
        <x:f>"28289011"</x:f>
        <x:v>28289011</x:v>
      </x:c>
      <x:c r="O250" s="29" t="n">
        <x:v>7.19</x:v>
      </x:c>
      <x:c r="P250" s="29" t="n">
        <x:v>23.5</x:v>
      </x:c>
      <x:c r="Q250" s="28" t="str">
        <x:f>"503"</x:f>
        <x:v>503</x:v>
      </x:c>
      <x:c r="R250" s="28" t="str">
        <x:f>"HS10002"</x:f>
        <x:v>HS10002</x:v>
      </x:c>
      <x:c r="S250" s="22" t="str"/>
      <x:c r="T250" s="22" t="str">
        <x:v>HIPOCLORITO SODIO % - 5L - UNIDADE - UND - CORDEX</x:v>
      </x:c>
      <x:c r="U250" s="27" t="str"/>
      <x:c r="V250" s="27" t="str"/>
    </x:row>
    <x:row r="251">
      <x:c r="A251" s="28" t="str">
        <x:f>"G-185"</x:f>
        <x:v>G-185</x:v>
      </x:c>
      <x:c r="B251" s="22" t="str">
        <x:v>INSULINA HUMANA NPH ML</x:v>
      </x:c>
      <x:c r="C251" s="22" t="str">
        <x:v>BAIXO</x:v>
      </x:c>
      <x:c r="D251" s="22" t="str">
        <x:v>REVISAR possível duplicidade</x:v>
      </x:c>
      <x:c r="E251" s="28" t="str">
        <x:f>"IHN0001"</x:f>
        <x:v>IHN0001</x:v>
      </x:c>
      <x:c r="F251" s="22" t="str">
        <x:v>INSULINA HUMANA NPH 100UI/ML 10ML - ELI LILLY</x:v>
      </x:c>
      <x:c r="G251" s="22" t="str">
        <x:v>INSULINA HUMANA NPH ML</x:v>
      </x:c>
      <x:c r="H251" s="22" t="str">
        <x:v>100UI | 10ML</x:v>
      </x:c>
      <x:c r="I251" s="22" t="str"/>
      <x:c r="J251" s="22" t="str">
        <x:v>UND</x:v>
      </x:c>
      <x:c r="K251" s="22" t="str">
        <x:v>UNIDADE</x:v>
      </x:c>
      <x:c r="L251" s="22" t="str">
        <x:v>ELI LILLY</x:v>
      </x:c>
      <x:c r="M251" s="28" t="str"/>
      <x:c r="N251" s="28" t="str">
        <x:f>"29371200"</x:f>
        <x:v>29371200</x:v>
      </x:c>
      <x:c r="O251" s="29" t="n">
        <x:v>35</x:v>
      </x:c>
      <x:c r="P251" s="29" t="n">
        <x:v>155</x:v>
      </x:c>
      <x:c r="Q251" s="28" t="str">
        <x:f>"509"</x:f>
        <x:v>509</x:v>
      </x:c>
      <x:c r="R251" s="28" t="str">
        <x:f>"IHN0001"</x:f>
        <x:v>IHN0001</x:v>
      </x:c>
      <x:c r="S251" s="22" t="str">
        <x:v>GTIN ausente ou invalido</x:v>
      </x:c>
      <x:c r="T251" s="22" t="str">
        <x:v>INSULINA HUMANA NPH ML - 100UI | 10ML - UNIDADE - UND - ELI LILLY</x:v>
      </x:c>
      <x:c r="U251" s="27" t="str"/>
      <x:c r="V251" s="27" t="str"/>
    </x:row>
    <x:row r="252">
      <x:c r="A252" s="28" t="str">
        <x:f>"G-185"</x:f>
        <x:v>G-185</x:v>
      </x:c>
      <x:c r="B252" s="22" t="str">
        <x:v>INSULINA HUMANA NPH ML</x:v>
      </x:c>
      <x:c r="C252" s="22" t="str">
        <x:v>BAIXO</x:v>
      </x:c>
      <x:c r="D252" s="22" t="str">
        <x:v>REVISAR possível duplicidade</x:v>
      </x:c>
      <x:c r="E252" s="28" t="str">
        <x:f>"IHN0008"</x:f>
        <x:v>IHN0008</x:v>
      </x:c>
      <x:c r="F252" s="22" t="str">
        <x:v>INSULINA HUMANA NPH 100UI/ML 10ML - NOVO NORDISK (NOVOLIN)</x:v>
      </x:c>
      <x:c r="G252" s="22" t="str">
        <x:v>INSULINA HUMANA NPH ML</x:v>
      </x:c>
      <x:c r="H252" s="22" t="str">
        <x:v>100UI | 10ML</x:v>
      </x:c>
      <x:c r="I252" s="22" t="str"/>
      <x:c r="J252" s="22" t="str">
        <x:v>UND</x:v>
      </x:c>
      <x:c r="K252" s="22" t="str">
        <x:v>UNIDADE</x:v>
      </x:c>
      <x:c r="L252" s="22" t="str">
        <x:v>NOVO NORDISK</x:v>
      </x:c>
      <x:c r="M252" s="28" t="str">
        <x:f>"GTIN: 7897705203231"</x:f>
        <x:v>GTIN: 7897705203231</x:v>
      </x:c>
      <x:c r="N252" s="28" t="str">
        <x:f>"29371200"</x:f>
        <x:v>29371200</x:v>
      </x:c>
      <x:c r="O252" s="29" t="n">
        <x:v>35</x:v>
      </x:c>
      <x:c r="P252" s="29" t="n">
        <x:v>155</x:v>
      </x:c>
      <x:c r="Q252" s="28" t="str">
        <x:f>"510 | 511"</x:f>
        <x:v>510 | 511</x:v>
      </x:c>
      <x:c r="R252" s="28" t="str">
        <x:f>"IHN0008 | IHN0002"</x:f>
        <x:v>IHN0008 | IHN0002</x:v>
      </x:c>
      <x:c r="S252" s="22" t="str">
        <x:v>varios codigos legados consolidados em um produto</x:v>
      </x:c>
      <x:c r="T252" s="22" t="str">
        <x:v>INSULINA HUMANA NPH ML - 100UI | 10ML - UNIDADE - UND - NOVO NORDISK</x:v>
      </x:c>
      <x:c r="U252" s="27" t="str"/>
      <x:c r="V252" s="27" t="str"/>
    </x:row>
    <x:row r="253">
      <x:c r="A253" s="28" t="str">
        <x:f>"G-200"</x:f>
        <x:v>G-200</x:v>
      </x:c>
      <x:c r="B253" s="22" t="str">
        <x:v>LIDOCAINA SPRAY</x:v>
      </x:c>
      <x:c r="C253" s="22" t="str">
        <x:v>BAIXO</x:v>
      </x:c>
      <x:c r="D253" s="22" t="str">
        <x:v>REVISAR possível duplicidade</x:v>
      </x:c>
      <x:c r="E253" s="28" t="str">
        <x:f>"L1(0003"</x:f>
        <x:v>L1(0003</x:v>
      </x:c>
      <x:c r="F253" s="22" t="str">
        <x:v>LIDOCAINA 10% (100MG/ML) SPRAY 50ML - CRISTALIA</x:v>
      </x:c>
      <x:c r="G253" s="22" t="str">
        <x:v>LIDOCAINA % SPRAY</x:v>
      </x:c>
      <x:c r="H253" s="22" t="str">
        <x:v>100MG/ML | 100MG | 50ML</x:v>
      </x:c>
      <x:c r="I253" s="22" t="str"/>
      <x:c r="J253" s="22" t="str">
        <x:v>CX | CONTEUDO1</x:v>
      </x:c>
      <x:c r="K253" s="22" t="str">
        <x:v>CAIXA</x:v>
      </x:c>
      <x:c r="L253" s="22" t="str">
        <x:v>CRISTALIA</x:v>
      </x:c>
      <x:c r="M253" s="28" t="str">
        <x:f>"GTIN: 7898123908999"</x:f>
        <x:v>GTIN: 7898123908999</x:v>
      </x:c>
      <x:c r="N253" s="28" t="str">
        <x:f>"30049043"</x:f>
        <x:v>30049043</x:v>
      </x:c>
      <x:c r="O253" s="29" t="n">
        <x:v>20</x:v>
      </x:c>
      <x:c r="P253" s="29" t="n">
        <x:v>67.53</x:v>
      </x:c>
      <x:c r="Q253" s="28" t="str">
        <x:f>"534"</x:f>
        <x:v>534</x:v>
      </x:c>
      <x:c r="R253" s="28" t="str">
        <x:f>"L1(0003"</x:f>
        <x:v>L1(0003</x:v>
      </x:c>
      <x:c r="S253" s="22" t="str">
        <x:v>GTIN repetido em produtos distintos</x:v>
      </x:c>
      <x:c r="T253" s="22" t="str">
        <x:v>LIDOCAINA % SPRAY - 100MG/ML | 100MG | 50ML - CAIXA - CX | CONTEUDO1 - CRISTALIA</x:v>
      </x:c>
      <x:c r="U253" s="27" t="str"/>
      <x:c r="V253" s="27" t="str"/>
    </x:row>
    <x:row r="254">
      <x:c r="A254" s="28" t="str">
        <x:f>"G-200"</x:f>
        <x:v>G-200</x:v>
      </x:c>
      <x:c r="B254" s="22" t="str">
        <x:v>LIDOCAINA SPRAY</x:v>
      </x:c>
      <x:c r="C254" s="22" t="str">
        <x:v>BAIXO</x:v>
      </x:c>
      <x:c r="D254" s="22" t="str">
        <x:v>REVISAR possível duplicidade</x:v>
      </x:c>
      <x:c r="E254" s="28" t="str">
        <x:f>"L1(0001"</x:f>
        <x:v>L1(0001</x:v>
      </x:c>
      <x:c r="F254" s="22" t="str">
        <x:v>LIDOCAINA 10% (100MG/ML) SPRAY 50ML - HIPOLABOR</x:v>
      </x:c>
      <x:c r="G254" s="22" t="str">
        <x:v>LIDOCAINA % SPRAY</x:v>
      </x:c>
      <x:c r="H254" s="22" t="str">
        <x:v>100MG/ML | 100MG | 50ML</x:v>
      </x:c>
      <x:c r="I254" s="22" t="str"/>
      <x:c r="J254" s="22" t="str">
        <x:v>CX | CONTEUDO1</x:v>
      </x:c>
      <x:c r="K254" s="22" t="str">
        <x:v>CAIXA</x:v>
      </x:c>
      <x:c r="L254" s="22" t="str">
        <x:v>HIPOLABOR</x:v>
      </x:c>
      <x:c r="M254" s="28" t="str">
        <x:f>"GTIN: 7898123908999"</x:f>
        <x:v>GTIN: 7898123908999</x:v>
      </x:c>
      <x:c r="N254" s="28" t="str">
        <x:f>"30049043"</x:f>
        <x:v>30049043</x:v>
      </x:c>
      <x:c r="O254" s="29" t="n">
        <x:v>15</x:v>
      </x:c>
      <x:c r="P254" s="29" t="n">
        <x:v>49</x:v>
      </x:c>
      <x:c r="Q254" s="28" t="str">
        <x:f>"535 | 536 | 537"</x:f>
        <x:v>535 | 536 | 537</x:v>
      </x:c>
      <x:c r="R254" s="28" t="str">
        <x:f>"L1(0001 | L220008 | L1(0002"</x:f>
        <x:v>L1(0001 | L220008 | L1(0002</x:v>
      </x:c>
      <x:c r="S254" s="22" t="str">
        <x:v>varios codigos legados consolidados em um produto; GTIN repetido em produtos distintos; unidade/embalagem divergente; custo divergente entre lotes; preco de venda divergente entre lotes</x:v>
      </x:c>
      <x:c r="T254" s="22" t="str">
        <x:v>LIDOCAINA % SPRAY - 100MG/ML | 100MG | 50ML - CAIXA - CX | CONTEUDO1 - HIPOLABOR</x:v>
      </x:c>
      <x:c r="U254" s="27" t="str"/>
      <x:c r="V254" s="27" t="str"/>
    </x:row>
    <x:row r="255">
      <x:c r="A255" s="28" t="str">
        <x:f>"G-204"</x:f>
        <x:v>G-204</x:v>
      </x:c>
      <x:c r="B255" s="22" t="str">
        <x:v>LUVA CIR LATEX PO TAM ESTERIL</x:v>
      </x:c>
      <x:c r="C255" s="22" t="str">
        <x:v>BAIXO</x:v>
      </x:c>
      <x:c r="D255" s="22" t="str">
        <x:v>REVISAR possível duplicidade</x:v>
      </x:c>
      <x:c r="E255" s="28" t="str">
        <x:f>"LCT0002"</x:f>
        <x:v>LCT0002</x:v>
      </x:c>
      <x:c r="F255" s="22" t="str">
        <x:v>LUVA CIR LATEX C/ PO TAM. 7.5 ESTÉRIL - MEDIX</x:v>
      </x:c>
      <x:c r="G255" s="22" t="str">
        <x:v>LUVA CIR LATEX PO TAM ESTERIL</x:v>
      </x:c>
      <x:c r="H255" s="22" t="str"/>
      <x:c r="I255" s="22" t="str"/>
      <x:c r="J255" s="22" t="str">
        <x:v>1PAR</x:v>
      </x:c>
      <x:c r="K255" s="22" t="str">
        <x:v>OUTRA</x:v>
      </x:c>
      <x:c r="L255" s="22" t="str">
        <x:v>MEDIX</x:v>
      </x:c>
      <x:c r="M255" s="28" t="str">
        <x:f>"GTIN: 7898945443135"</x:f>
        <x:v>GTIN: 7898945443135</x:v>
      </x:c>
      <x:c r="N255" s="28" t="str">
        <x:f>"40151200"</x:f>
        <x:v>40151200</x:v>
      </x:c>
      <x:c r="O255" s="29" t="n">
        <x:v>0.6</x:v>
      </x:c>
      <x:c r="P255" s="29" t="n">
        <x:v>0</x:v>
      </x:c>
      <x:c r="Q255" s="28" t="str">
        <x:f>"554"</x:f>
        <x:v>554</x:v>
      </x:c>
      <x:c r="R255" s="28" t="str">
        <x:f>"LCT0002"</x:f>
        <x:v>LCT0002</x:v>
      </x:c>
      <x:c r="S255" s="22" t="str"/>
      <x:c r="T255" s="22" t="str">
        <x:v>LUVA CIR LATEX PO TAM ESTERIL - OUTRA - 1PAR - MEDIX</x:v>
      </x:c>
      <x:c r="U255" s="27" t="str"/>
      <x:c r="V255" s="27" t="str"/>
    </x:row>
    <x:row r="256">
      <x:c r="A256" s="28" t="str">
        <x:f>"G-204"</x:f>
        <x:v>G-204</x:v>
      </x:c>
      <x:c r="B256" s="22" t="str">
        <x:v>LUVA CIR LATEX PO TAM ESTERIL</x:v>
      </x:c>
      <x:c r="C256" s="22" t="str">
        <x:v>BAIXO</x:v>
      </x:c>
      <x:c r="D256" s="22" t="str">
        <x:v>REVISAR possível duplicidade</x:v>
      </x:c>
      <x:c r="E256" s="28" t="str">
        <x:f>"LCL0001"</x:f>
        <x:v>LCL0001</x:v>
      </x:c>
      <x:c r="F256" s="22" t="str">
        <x:v>LUVA CIR LATEX C/ PO TAM. 8.0 ESTÉRIL - DESCARPACK</x:v>
      </x:c>
      <x:c r="G256" s="22" t="str">
        <x:v>LUVA CIR LATEX PO TAM ESTERIL</x:v>
      </x:c>
      <x:c r="H256" s="22" t="str"/>
      <x:c r="I256" s="22" t="str"/>
      <x:c r="J256" s="22" t="str">
        <x:v>1PAR</x:v>
      </x:c>
      <x:c r="K256" s="22" t="str">
        <x:v>OUTRA</x:v>
      </x:c>
      <x:c r="L256" s="22" t="str">
        <x:v>DESCARPACK</x:v>
      </x:c>
      <x:c r="M256" s="28" t="str">
        <x:f>"GTIN: 7898945443142"</x:f>
        <x:v>GTIN: 7898945443142</x:v>
      </x:c>
      <x:c r="N256" s="28" t="str">
        <x:f>"40151200"</x:f>
        <x:v>40151200</x:v>
      </x:c>
      <x:c r="O256" s="29" t="n">
        <x:v>0.6</x:v>
      </x:c>
      <x:c r="P256" s="29" t="n">
        <x:v>0</x:v>
      </x:c>
      <x:c r="Q256" s="28" t="str">
        <x:f>"555"</x:f>
        <x:v>555</x:v>
      </x:c>
      <x:c r="R256" s="28" t="str">
        <x:f>"LCL0001"</x:f>
        <x:v>LCL0001</x:v>
      </x:c>
      <x:c r="S256" s="22" t="str"/>
      <x:c r="T256" s="22" t="str">
        <x:v>LUVA CIR LATEX PO TAM ESTERIL - OUTRA - 1PAR - DESCARPACK</x:v>
      </x:c>
      <x:c r="U256" s="27" t="str"/>
      <x:c r="V256" s="27" t="str"/>
    </x:row>
    <x:row r="257">
      <x:c r="A257" s="28" t="str">
        <x:f>"G-212"</x:f>
        <x:v>G-212</x:v>
      </x:c>
      <x:c r="B257" s="22" t="str">
        <x:v>LUVA NITRILICA PROCEDIMENTO M PO NAO ESTERIL</x:v>
      </x:c>
      <x:c r="C257" s="22" t="str">
        <x:v>BAIXO</x:v>
      </x:c>
      <x:c r="D257" s="22" t="str">
        <x:v>REVISAR possível duplicidade</x:v>
      </x:c>
      <x:c r="E257" s="28" t="str">
        <x:f>"LNP0003"</x:f>
        <x:v>LNP0003</x:v>
      </x:c>
      <x:c r="F257" s="22" t="str">
        <x:v>LUVA NITRÍLICA P/ PROCEDIMENTO M S/PÓ NÃO ESTÉRIL - CX/100 - MEDIX</x:v>
      </x:c>
      <x:c r="G257" s="22" t="str">
        <x:v>LUVA NITRILICA PROCEDIMENTO M PO NAO ESTERIL</x:v>
      </x:c>
      <x:c r="H257" s="22" t="str"/>
      <x:c r="I257" s="22" t="str"/>
      <x:c r="J257" s="22" t="str">
        <x:v>CX/100 | CX | CONTEUDO100 | FATOR100</x:v>
      </x:c>
      <x:c r="K257" s="22" t="str">
        <x:v>CAIXA</x:v>
      </x:c>
      <x:c r="L257" s="22" t="str">
        <x:v>MEDIX</x:v>
      </x:c>
      <x:c r="M257" s="28" t="str"/>
      <x:c r="N257" s="28" t="str">
        <x:f>"40151900"</x:f>
        <x:v>40151900</x:v>
      </x:c>
      <x:c r="O257" s="29" t="n">
        <x:v>9</x:v>
      </x:c>
      <x:c r="P257" s="29" t="n">
        <x:v>22.5</x:v>
      </x:c>
      <x:c r="Q257" s="28" t="str">
        <x:f>"575"</x:f>
        <x:v>575</x:v>
      </x:c>
      <x:c r="R257" s="28" t="str">
        <x:f>"LNP0003"</x:f>
        <x:v>LNP0003</x:v>
      </x:c>
      <x:c r="S257" s="22" t="str">
        <x:v>GTIN ausente ou invalido</x:v>
      </x:c>
      <x:c r="T257" s="22" t="str">
        <x:v>LUVA NITRILICA PROCEDIMENTO M PO NAO ESTERIL - CAIXA - CX/100 | CX | CONTEUDO100 | FATOR100 - MEDIX</x:v>
      </x:c>
      <x:c r="U257" s="27" t="str"/>
      <x:c r="V257" s="27" t="str"/>
    </x:row>
    <x:row r="258">
      <x:c r="A258" s="28" t="str">
        <x:f>"G-212"</x:f>
        <x:v>G-212</x:v>
      </x:c>
      <x:c r="B258" s="22" t="str">
        <x:v>LUVA NITRILICA PROCEDIMENTO M PO NAO ESTERIL</x:v>
      </x:c>
      <x:c r="C258" s="22" t="str">
        <x:v>BAIXO</x:v>
      </x:c>
      <x:c r="D258" s="22" t="str">
        <x:v>REVISAR possível duplicidade</x:v>
      </x:c>
      <x:c r="E258" s="28" t="str">
        <x:f>"LPE0007"</x:f>
        <x:v>LPE0007</x:v>
      </x:c>
      <x:c r="F258" s="22" t="str">
        <x:v>LUVA NITRÍLICA P/ PROCEDIMENTO M S/PÓ NÃO ESTÉRIL - CX/100 - SAFE MAX</x:v>
      </x:c>
      <x:c r="G258" s="22" t="str">
        <x:v>LUVA NITRILICA PROCEDIMENTO M PO NAO ESTERIL</x:v>
      </x:c>
      <x:c r="H258" s="22" t="str"/>
      <x:c r="I258" s="22" t="str"/>
      <x:c r="J258" s="22" t="str">
        <x:v>CX/100 | CX | CONTEUDO100 | FATOR100</x:v>
      </x:c>
      <x:c r="K258" s="22" t="str">
        <x:v>CAIXA</x:v>
      </x:c>
      <x:c r="L258" s="22" t="str">
        <x:v>SAFE MAX</x:v>
      </x:c>
      <x:c r="M258" s="28" t="str"/>
      <x:c r="N258" s="28" t="str">
        <x:f>"40151900"</x:f>
        <x:v>40151900</x:v>
      </x:c>
      <x:c r="O258" s="29" t="n">
        <x:v>9</x:v>
      </x:c>
      <x:c r="P258" s="29" t="n">
        <x:v>22.5</x:v>
      </x:c>
      <x:c r="Q258" s="28" t="str">
        <x:f>"576"</x:f>
        <x:v>576</x:v>
      </x:c>
      <x:c r="R258" s="28" t="str">
        <x:f>"LPE0007"</x:f>
        <x:v>LPE0007</x:v>
      </x:c>
      <x:c r="S258" s="22" t="str">
        <x:v>GTIN ausente ou invalido</x:v>
      </x:c>
      <x:c r="T258" s="22" t="str">
        <x:v>LUVA NITRILICA PROCEDIMENTO M PO NAO ESTERIL - CAIXA - CX/100 | CX | CONTEUDO100 | FATOR100 - SAFE MAX</x:v>
      </x:c>
      <x:c r="U258" s="27" t="str"/>
      <x:c r="V258" s="27" t="str"/>
    </x:row>
    <x:row r="259">
      <x:c r="A259" s="28" t="str">
        <x:f>"G-235"</x:f>
        <x:v>G-235</x:v>
      </x:c>
      <x:c r="B259" s="22" t="str">
        <x:v>NITROPRUSSETO SODIO</x:v>
      </x:c>
      <x:c r="C259" s="22" t="str">
        <x:v>BAIXO</x:v>
      </x:c>
      <x:c r="D259" s="22" t="str">
        <x:v>REVISAR possível duplicidade</x:v>
      </x:c>
      <x:c r="E259" s="28" t="str">
        <x:f>"N2-0005"</x:f>
        <x:v>N2-0005</x:v>
      </x:c>
      <x:c r="F259" s="22" t="str">
        <x:v>NITROPRUSSETO DE SÓDIO 50MG/2ML - CX/5 - CRISTÁLIA</x:v>
      </x:c>
      <x:c r="G259" s="22" t="str">
        <x:v>NITROPRUSSETO SODIO</x:v>
      </x:c>
      <x:c r="H259" s="22" t="str">
        <x:v>50MG/2ML | 50MG | 2ML</x:v>
      </x:c>
      <x:c r="I259" s="22" t="str"/>
      <x:c r="J259" s="22" t="str">
        <x:v>CX/5 | CX | CONTEUDO5 | FATOR5</x:v>
      </x:c>
      <x:c r="K259" s="22" t="str">
        <x:v>CAIXA</x:v>
      </x:c>
      <x:c r="L259" s="22" t="str">
        <x:v>CRISTÁLIA</x:v>
      </x:c>
      <x:c r="M259" s="28" t="str">
        <x:f>"GTIN: 7896676403688"</x:f>
        <x:v>GTIN: 7896676403688</x:v>
      </x:c>
      <x:c r="N259" s="28" t="str">
        <x:f>"30049099"</x:f>
        <x:v>30049099</x:v>
      </x:c>
      <x:c r="O259" s="29" t="n">
        <x:v>5</x:v>
      </x:c>
      <x:c r="P259" s="29" t="n">
        <x:v>15.77</x:v>
      </x:c>
      <x:c r="Q259" s="28" t="str">
        <x:f>"628"</x:f>
        <x:v>628</x:v>
      </x:c>
      <x:c r="R259" s="28" t="str">
        <x:f>"N2-0005"</x:f>
        <x:v>N2-0005</x:v>
      </x:c>
      <x:c r="S259" s="22" t="str">
        <x:v>GTIN repetido em produtos distintos</x:v>
      </x:c>
      <x:c r="T259" s="22" t="str">
        <x:v>NITROPRUSSETO SODIO - 50MG/2ML | 50MG | 2ML - CAIXA - CX/5 | CX | CONTEUDO5 | FATOR5 - CRISTÁLIA</x:v>
      </x:c>
      <x:c r="U259" s="27" t="str"/>
      <x:c r="V259" s="27" t="str"/>
    </x:row>
    <x:row r="260">
      <x:c r="A260" s="28" t="str">
        <x:f>"G-235"</x:f>
        <x:v>G-235</x:v>
      </x:c>
      <x:c r="B260" s="22" t="str">
        <x:v>NITROPRUSSETO SODIO</x:v>
      </x:c>
      <x:c r="C260" s="22" t="str">
        <x:v>BAIXO</x:v>
      </x:c>
      <x:c r="D260" s="22" t="str">
        <x:v>REVISAR possível duplicidade</x:v>
      </x:c>
      <x:c r="E260" s="28" t="str">
        <x:f>"NS50001"</x:f>
        <x:v>NS50001</x:v>
      </x:c>
      <x:c r="F260" s="22" t="str">
        <x:v>NITROPRUSSETO DE SÓDIO 50MG/2ML - CX/5 - HYPOFARMA</x:v>
      </x:c>
      <x:c r="G260" s="22" t="str">
        <x:v>NITROPRUSSETO SODIO</x:v>
      </x:c>
      <x:c r="H260" s="22" t="str">
        <x:v>50MG/2ML | 50MG | 2ML</x:v>
      </x:c>
      <x:c r="I260" s="22" t="str"/>
      <x:c r="J260" s="22" t="str">
        <x:v>CX/5 | CX | CONTEUDO5 | FATOR5</x:v>
      </x:c>
      <x:c r="K260" s="22" t="str">
        <x:v>CAIXA</x:v>
      </x:c>
      <x:c r="L260" s="22" t="str">
        <x:v>HYPOFARMA</x:v>
      </x:c>
      <x:c r="M260" s="28" t="str">
        <x:f>"GTIN: 7896676403688"</x:f>
        <x:v>GTIN: 7896676403688</x:v>
      </x:c>
      <x:c r="N260" s="28" t="str">
        <x:f>"30049099"</x:f>
        <x:v>30049099</x:v>
      </x:c>
      <x:c r="O260" s="29" t="n">
        <x:v>5</x:v>
      </x:c>
      <x:c r="P260" s="29" t="n">
        <x:v>15.77</x:v>
      </x:c>
      <x:c r="Q260" s="28" t="str">
        <x:f>"629"</x:f>
        <x:v>629</x:v>
      </x:c>
      <x:c r="R260" s="28" t="str">
        <x:f>"NS50001"</x:f>
        <x:v>NS50001</x:v>
      </x:c>
      <x:c r="S260" s="22" t="str">
        <x:v>GTIN repetido em produtos distintos</x:v>
      </x:c>
      <x:c r="T260" s="22" t="str">
        <x:v>NITROPRUSSETO SODIO - 50MG/2ML | 50MG | 2ML - CAIXA - CX/5 | CX | CONTEUDO5 | FATOR5 - HYPOFARMA</x:v>
      </x:c>
      <x:c r="U260" s="27" t="str"/>
      <x:c r="V260" s="27" t="str"/>
    </x:row>
    <x:row r="261">
      <x:c r="A261" s="28" t="str">
        <x:f>"G-241"</x:f>
        <x:v>G-241</x:v>
      </x:c>
      <x:c r="B261" s="22" t="str">
        <x:v>PAPEL LENCOL RL BRANCO</x:v>
      </x:c>
      <x:c r="C261" s="22" t="str">
        <x:v>BAIXO</x:v>
      </x:c>
      <x:c r="D261" s="22" t="str">
        <x:v>REVISAR possível duplicidade</x:v>
      </x:c>
      <x:c r="E261" s="28" t="str">
        <x:f>"PL70001"</x:f>
        <x:v>PL70001</x:v>
      </x:c>
      <x:c r="F261" s="22" t="str">
        <x:v>PAPEL LENÇOL 70X50 CM - CX/10 RL BRANCO - CLEAN</x:v>
      </x:c>
      <x:c r="G261" s="22" t="str">
        <x:v>PAPEL LENCOL RL BRANCO</x:v>
      </x:c>
      <x:c r="H261" s="22" t="str"/>
      <x:c r="I261" s="22" t="str">
        <x:v>70X50CM</x:v>
      </x:c>
      <x:c r="J261" s="22" t="str">
        <x:v>CX/10 | CX | CONTEUDO10 | FATOR10</x:v>
      </x:c>
      <x:c r="K261" s="22" t="str">
        <x:v>CAIXA</x:v>
      </x:c>
      <x:c r="L261" s="22" t="str">
        <x:v>CLEAN</x:v>
      </x:c>
      <x:c r="M261" s="28" t="str"/>
      <x:c r="N261" s="28" t="str">
        <x:f>"48115129"</x:f>
        <x:v>48115129</x:v>
      </x:c>
      <x:c r="O261" s="29" t="n">
        <x:v>8.5</x:v>
      </x:c>
      <x:c r="P261" s="29" t="n">
        <x:v>13.24</x:v>
      </x:c>
      <x:c r="Q261" s="28" t="str">
        <x:f>"639"</x:f>
        <x:v>639</x:v>
      </x:c>
      <x:c r="R261" s="28" t="str">
        <x:f>"PL70001"</x:f>
        <x:v>PL70001</x:v>
      </x:c>
      <x:c r="S261" s="22" t="str">
        <x:v>GTIN ausente ou invalido</x:v>
      </x:c>
      <x:c r="T261" s="22" t="str">
        <x:v>PAPEL LENCOL RL BRANCO - 70X50CM - CAIXA - CX/10 | CX | CONTEUDO10 | FATOR10 - CLEAN</x:v>
      </x:c>
      <x:c r="U261" s="27" t="str"/>
      <x:c r="V261" s="27" t="str"/>
    </x:row>
    <x:row r="262">
      <x:c r="A262" s="28" t="str">
        <x:f>"G-241"</x:f>
        <x:v>G-241</x:v>
      </x:c>
      <x:c r="B262" s="22" t="str">
        <x:v>PAPEL LENCOL RL BRANCO</x:v>
      </x:c>
      <x:c r="C262" s="22" t="str">
        <x:v>BAIXO</x:v>
      </x:c>
      <x:c r="D262" s="22" t="str">
        <x:v>REVISAR possível duplicidade</x:v>
      </x:c>
      <x:c r="E262" s="28" t="str">
        <x:f>"PL50001"</x:f>
        <x:v>PL50001</x:v>
      </x:c>
      <x:c r="F262" s="22" t="str">
        <x:v>PAPEL LENÇOL 70X50 CM CX/10 RL BRANCO - BELIPEL CIPEL</x:v>
      </x:c>
      <x:c r="G262" s="22" t="str">
        <x:v>PAPEL LENCOL RL BRANCO</x:v>
      </x:c>
      <x:c r="H262" s="22" t="str"/>
      <x:c r="I262" s="22" t="str">
        <x:v>70X50CM</x:v>
      </x:c>
      <x:c r="J262" s="22" t="str">
        <x:v>CX/10 | CX | CONTEUDO10 | FATOR10</x:v>
      </x:c>
      <x:c r="K262" s="22" t="str">
        <x:v>CAIXA</x:v>
      </x:c>
      <x:c r="L262" s="22" t="str">
        <x:v>BELIPEL CIPEL</x:v>
      </x:c>
      <x:c r="M262" s="28" t="str"/>
      <x:c r="N262" s="28" t="str">
        <x:f>"48115129"</x:f>
        <x:v>48115129</x:v>
      </x:c>
      <x:c r="O262" s="29" t="n">
        <x:v>8.5</x:v>
      </x:c>
      <x:c r="P262" s="29" t="n">
        <x:v>13.24</x:v>
      </x:c>
      <x:c r="Q262" s="28" t="str">
        <x:f>"640"</x:f>
        <x:v>640</x:v>
      </x:c>
      <x:c r="R262" s="28" t="str">
        <x:f>"PL50001"</x:f>
        <x:v>PL50001</x:v>
      </x:c>
      <x:c r="S262" s="22" t="str">
        <x:v>GTIN ausente ou invalido</x:v>
      </x:c>
      <x:c r="T262" s="22" t="str">
        <x:v>PAPEL LENCOL RL BRANCO - 70X50CM - CAIXA - CX/10 | CX | CONTEUDO10 | FATOR10 - BELIPEL CIPEL</x:v>
      </x:c>
      <x:c r="U262" s="27" t="str"/>
      <x:c r="V262" s="27" t="str"/>
    </x:row>
    <x:row r="263">
      <x:c r="A263" s="28" t="str">
        <x:f>"G-251"</x:f>
        <x:v>G-251</x:v>
      </x:c>
      <x:c r="B263" s="22" t="str">
        <x:v>SACARATO OXIDO FERRICO</x:v>
      </x:c>
      <x:c r="C263" s="22" t="str">
        <x:v>BAIXO</x:v>
      </x:c>
      <x:c r="D263" s="22" t="str">
        <x:v>REVISAR possível duplicidade</x:v>
      </x:c>
      <x:c r="E263" s="28" t="str">
        <x:f>"SÓF0002"</x:f>
        <x:v>SÓF0002</x:v>
      </x:c>
      <x:c r="F263" s="22" t="str">
        <x:v>SACARATO DE ÓXIDO FÉRRICO 20MG/ML 5ML AP CX/50 - BLAU</x:v>
      </x:c>
      <x:c r="G263" s="22" t="str">
        <x:v>SACARATO OXIDO FERRICO</x:v>
      </x:c>
      <x:c r="H263" s="22" t="str">
        <x:v>20MG/ML | 20MG | 5ML</x:v>
      </x:c>
      <x:c r="I263" s="22" t="str"/>
      <x:c r="J263" s="22" t="str">
        <x:v>AP | CX/50 | UN</x:v>
      </x:c>
      <x:c r="K263" s="22" t="str">
        <x:v>UNIDADE</x:v>
      </x:c>
      <x:c r="L263" s="22" t="str">
        <x:v>BLAU</x:v>
      </x:c>
      <x:c r="M263" s="28" t="str">
        <x:f>"GTIN: 7896014673100"</x:f>
        <x:v>GTIN: 7896014673100</x:v>
      </x:c>
      <x:c r="N263" s="28" t="str">
        <x:f>"30049099"</x:f>
        <x:v>30049099</x:v>
      </x:c>
      <x:c r="O263" s="29" t="n">
        <x:v>12.1</x:v>
      </x:c>
      <x:c r="P263" s="29" t="n">
        <x:v>0</x:v>
      </x:c>
      <x:c r="Q263" s="28" t="str">
        <x:f>"669"</x:f>
        <x:v>669</x:v>
      </x:c>
      <x:c r="R263" s="28" t="str">
        <x:f>"SÓF0002"</x:f>
        <x:v>SÓF0002</x:v>
      </x:c>
      <x:c r="S263" s="22" t="str"/>
      <x:c r="T263" s="22" t="str">
        <x:v>SACARATO OXIDO FERRICO - 20MG/ML | 20MG | 5ML - UNIDADE - AP | CX/50 | UN - BLAU</x:v>
      </x:c>
      <x:c r="U263" s="27" t="str"/>
      <x:c r="V263" s="27" t="str"/>
    </x:row>
    <x:row r="264">
      <x:c r="A264" s="28" t="str">
        <x:f>"G-251"</x:f>
        <x:v>G-251</x:v>
      </x:c>
      <x:c r="B264" s="22" t="str">
        <x:v>SACARATO OXIDO FERRICO</x:v>
      </x:c>
      <x:c r="C264" s="22" t="str">
        <x:v>BAIXO</x:v>
      </x:c>
      <x:c r="D264" s="22" t="str">
        <x:v>REVISAR possível duplicidade</x:v>
      </x:c>
      <x:c r="E264" s="28" t="str">
        <x:f>"SÓF0001"</x:f>
        <x:v>SÓF0001</x:v>
      </x:c>
      <x:c r="F264" s="22" t="str">
        <x:v>SACARATO DE ÓXIDO FÉRRICO 20MG/ML 5ML AP CX/50 - VMG</x:v>
      </x:c>
      <x:c r="G264" s="22" t="str">
        <x:v>SACARATO OXIDO FERRICO</x:v>
      </x:c>
      <x:c r="H264" s="22" t="str">
        <x:v>20MG/ML | 20MG | 5ML</x:v>
      </x:c>
      <x:c r="I264" s="22" t="str"/>
      <x:c r="J264" s="22" t="str">
        <x:v>AP | CX/50 | UN</x:v>
      </x:c>
      <x:c r="K264" s="22" t="str">
        <x:v>UNIDADE</x:v>
      </x:c>
      <x:c r="L264" s="22" t="str">
        <x:v>VMG</x:v>
      </x:c>
      <x:c r="M264" s="28" t="str"/>
      <x:c r="N264" s="28" t="str">
        <x:f>"30049099"</x:f>
        <x:v>30049099</x:v>
      </x:c>
      <x:c r="O264" s="29" t="n">
        <x:v>4</x:v>
      </x:c>
      <x:c r="P264" s="29" t="n">
        <x:v>0</x:v>
      </x:c>
      <x:c r="Q264" s="28" t="str">
        <x:f>"670"</x:f>
        <x:v>670</x:v>
      </x:c>
      <x:c r="R264" s="28" t="str">
        <x:f>"SÓF0001"</x:f>
        <x:v>SÓF0001</x:v>
      </x:c>
      <x:c r="S264" s="22" t="str">
        <x:v>GTIN ausente ou invalido</x:v>
      </x:c>
      <x:c r="T264" s="22" t="str">
        <x:v>SACARATO OXIDO FERRICO - 20MG/ML | 20MG | 5ML - UNIDADE - AP | CX/50 | UN - VMG</x:v>
      </x:c>
      <x:c r="U264" s="27" t="str"/>
      <x:c r="V264" s="27" t="str"/>
    </x:row>
    <x:row r="265">
      <x:c r="A265" s="28" t="str">
        <x:f>"G-269"</x:f>
        <x:v>G-269</x:v>
      </x:c>
      <x:c r="B265" s="22" t="str">
        <x:v>SEVOFLURANO</x:v>
      </x:c>
      <x:c r="C265" s="22" t="str">
        <x:v>BAIXO</x:v>
      </x:c>
      <x:c r="D265" s="22" t="str">
        <x:v>REVISAR possível duplicidade</x:v>
      </x:c>
      <x:c r="E265" s="28" t="str">
        <x:f>"S2-0023"</x:f>
        <x:v>S2-0023</x:v>
      </x:c>
      <x:c r="F265" s="22" t="str">
        <x:v>SEVOFLURANO 250ML - CRISTALIA</x:v>
      </x:c>
      <x:c r="G265" s="22" t="str">
        <x:v>SEVOFLURANO</x:v>
      </x:c>
      <x:c r="H265" s="22" t="str">
        <x:v>250ML</x:v>
      </x:c>
      <x:c r="I265" s="22" t="str"/>
      <x:c r="J265" s="22" t="str">
        <x:v>UND</x:v>
      </x:c>
      <x:c r="K265" s="22" t="str">
        <x:v>UNIDADE</x:v>
      </x:c>
      <x:c r="L265" s="22" t="str">
        <x:v>CRISTALIA</x:v>
      </x:c>
      <x:c r="M265" s="28" t="str"/>
      <x:c r="N265" s="28" t="str">
        <x:f>"30049099"</x:f>
        <x:v>30049099</x:v>
      </x:c>
      <x:c r="O265" s="29" t="n">
        <x:v>1</x:v>
      </x:c>
      <x:c r="P265" s="29" t="n">
        <x:v>298</x:v>
      </x:c>
      <x:c r="Q265" s="28" t="str">
        <x:f>"697 | 705 | 706 | 707 | 708 | 709 | 710 | 711 | 712 | 713 | 714 | 715 | 716 | 717 | 718 | 719"</x:f>
        <x:v>697 | 705 | 706 | 707 | 708 | 709 | 710 | 711 | 712 | 713 | 714 | 715 | 716 | 717 | 718 | 719</x:v>
      </x:c>
      <x:c r="R265" s="28" t="str">
        <x:f>"S2-0023 | S2-0019 | S2-0017 | S2-0012 | S2-0015 | S2-0014 | S2-0022 | S2-0016 | S2C0006 | S2-0008 | S2-0036 | S2-0026 | S2-0005 | S2-0006 | S2-0004 | S2-0003"</x:f>
        <x:v>S2-0023 | S2-0019 | S2-0017 | S2-0012 | S2-0015 | S2-0014 | S2-0022 | S2-0016 | S2C0006 | S2-0008 | S2-0036 | S2-0026 | S2-0005 | S2-0006 | S2-0004 | S2-0003</x:v>
      </x:c>
      <x:c r="S265" s="22" t="str">
        <x:v>varios codigos legados consolidados em um produto; mais de um GTIN no mesmo produto; custo divergente entre lotes; preco de venda divergente entre lotes</x:v>
      </x:c>
      <x:c r="T265" s="22" t="str">
        <x:v>SEVOFLURANO - 250ML - UNIDADE - UND - CRISTALIA</x:v>
      </x:c>
      <x:c r="U265" s="27" t="str"/>
      <x:c r="V265" s="27" t="str"/>
    </x:row>
    <x:row r="266">
      <x:c r="A266" s="28" t="str">
        <x:f>"G-269"</x:f>
        <x:v>G-269</x:v>
      </x:c>
      <x:c r="B266" s="22" t="str">
        <x:v>SEVOFLURANO</x:v>
      </x:c>
      <x:c r="C266" s="22" t="str">
        <x:v>BAIXO</x:v>
      </x:c>
      <x:c r="D266" s="22" t="str">
        <x:v>REVISAR possível duplicidade</x:v>
      </x:c>
      <x:c r="E266" s="28" t="str">
        <x:f>"S2-0013"</x:f>
        <x:v>S2-0013</x:v>
      </x:c>
      <x:c r="F266" s="22" t="str">
        <x:v>SEVOFLURANO 250ML - UNIÃO QUIMICA</x:v>
      </x:c>
      <x:c r="G266" s="22" t="str">
        <x:v>SEVOFLURANO</x:v>
      </x:c>
      <x:c r="H266" s="22" t="str">
        <x:v>250ML</x:v>
      </x:c>
      <x:c r="I266" s="22" t="str"/>
      <x:c r="J266" s="22" t="str">
        <x:v>UND</x:v>
      </x:c>
      <x:c r="K266" s="22" t="str">
        <x:v>UNIDADE</x:v>
      </x:c>
      <x:c r="L266" s="22" t="str">
        <x:v>UNIÃO QUIMICA</x:v>
      </x:c>
      <x:c r="M266" s="28" t="str"/>
      <x:c r="N266" s="28" t="str">
        <x:f>"30049099"</x:f>
        <x:v>30049099</x:v>
      </x:c>
      <x:c r="O266" s="29" t="n">
        <x:v>1</x:v>
      </x:c>
      <x:c r="P266" s="29" t="n">
        <x:v>298</x:v>
      </x:c>
      <x:c r="Q266" s="28" t="str">
        <x:f>"698 | 699 | 700 | 701 | 702 | 703 | 704 | 720 | 721 | 722 | 723"</x:f>
        <x:v>698 | 699 | 700 | 701 | 702 | 703 | 704 | 720 | 721 | 722 | 723</x:v>
      </x:c>
      <x:c r="R266" s="28" t="str">
        <x:f>"S2-0011 | S2-0009 | S2U0028 | S2-0007 | S2-0013 | S2-0018 | S2-0020 | S2U0006 | S2-0021 | S2-0002 | S2-0010"</x:f>
        <x:v>S2-0011 | S2-0009 | S2U0028 | S2-0007 | S2-0013 | S2-0018 | S2-0020 | S2U0006 | S2-0021 | S2-0002 | S2-0010</x:v>
      </x:c>
      <x:c r="S266" s="22" t="str">
        <x:v>varios codigos legados consolidados em um produto; mais de um GTIN no mesmo produto; preco de venda divergente entre lotes</x:v>
      </x:c>
      <x:c r="T266" s="22" t="str">
        <x:v>SEVOFLURANO - 250ML - UNIDADE - UND - UNIÃO QUIMICA</x:v>
      </x:c>
      <x:c r="U266" s="27" t="str"/>
      <x:c r="V266" s="27" t="str"/>
    </x:row>
    <x:row r="267">
      <x:c r="A267" s="28" t="str">
        <x:f>"G-270"</x:f>
        <x:v>G-270</x:v>
      </x:c>
      <x:c r="B267" s="22" t="str">
        <x:v>SEVOFLURANO SEVONESS</x:v>
      </x:c>
      <x:c r="C267" s="22" t="str">
        <x:v>BAIXO</x:v>
      </x:c>
      <x:c r="D267" s="22" t="str">
        <x:v>REVISAR possível duplicidade</x:v>
      </x:c>
      <x:c r="E267" s="28" t="str">
        <x:f>"SS20008"</x:f>
        <x:v>SS20008</x:v>
      </x:c>
      <x:c r="F267" s="22" t="str">
        <x:v>SEVOFLURANO SEVONESS 250ML - BAXTER</x:v>
      </x:c>
      <x:c r="G267" s="22" t="str">
        <x:v>SEVOFLURANO SEVONESS</x:v>
      </x:c>
      <x:c r="H267" s="22" t="str">
        <x:v>250ML</x:v>
      </x:c>
      <x:c r="I267" s="22" t="str"/>
      <x:c r="J267" s="22" t="str">
        <x:v>UND</x:v>
      </x:c>
      <x:c r="K267" s="22" t="str">
        <x:v>UNIDADE</x:v>
      </x:c>
      <x:c r="L267" s="22" t="str">
        <x:v>BAXTER</x:v>
      </x:c>
      <x:c r="M267" s="28" t="str">
        <x:f>"GTIN: 07896006209980"</x:f>
        <x:v>GTIN: 07896006209980</x:v>
      </x:c>
      <x:c r="N267" s="28" t="str">
        <x:f>"30049099"</x:f>
        <x:v>30049099</x:v>
      </x:c>
      <x:c r="O267" s="29" t="n">
        <x:v>220</x:v>
      </x:c>
      <x:c r="P267" s="29" t="n">
        <x:v>330</x:v>
      </x:c>
      <x:c r="Q267" s="28" t="str">
        <x:f>"724 | 725 | 726 | 727 | 728 | 729 | 730"</x:f>
        <x:v>724 | 725 | 726 | 727 | 728 | 729 | 730</x:v>
      </x:c>
      <x:c r="R267" s="28" t="str">
        <x:f>"SS20001 | SS20005 | SS20008 | SS20003 | S2-0001 | SS20002 | SS20004"</x:f>
        <x:v>SS20001 | SS20005 | SS20008 | SS20003 | S2-0001 | SS20002 | SS20004</x:v>
      </x:c>
      <x:c r="S267" s="22" t="str">
        <x:v>varios codigos legados consolidados em um produto; GTIN repetido em produtos distintos; preco de venda divergente entre lotes</x:v>
      </x:c>
      <x:c r="T267" s="22" t="str">
        <x:v>SEVOFLURANO SEVONESS - 250ML - UNIDADE - UND - BAXTER</x:v>
      </x:c>
      <x:c r="U267" s="27" t="str"/>
      <x:c r="V267" s="27" t="str"/>
    </x:row>
    <x:row r="268">
      <x:c r="A268" s="28" t="str">
        <x:f>"G-270"</x:f>
        <x:v>G-270</x:v>
      </x:c>
      <x:c r="B268" s="22" t="str">
        <x:v>SEVOFLURANO SEVONESS</x:v>
      </x:c>
      <x:c r="C268" s="22" t="str">
        <x:v>BAIXO</x:v>
      </x:c>
      <x:c r="D268" s="22" t="str">
        <x:v>REVISAR possível duplicidade</x:v>
      </x:c>
      <x:c r="E268" s="28" t="str">
        <x:f>"SS20007"</x:f>
        <x:v>SS20007</x:v>
      </x:c>
      <x:c r="F268" s="22" t="str">
        <x:v>SEVOFLURANO SEVONESS 250ML - BIOCHIMICO</x:v>
      </x:c>
      <x:c r="G268" s="22" t="str">
        <x:v>SEVOFLURANO SEVONESS</x:v>
      </x:c>
      <x:c r="H268" s="22" t="str">
        <x:v>250ML</x:v>
      </x:c>
      <x:c r="I268" s="22" t="str"/>
      <x:c r="J268" s="22" t="str">
        <x:v>UND</x:v>
      </x:c>
      <x:c r="K268" s="22" t="str">
        <x:v>UNIDADE</x:v>
      </x:c>
      <x:c r="L268" s="22" t="str">
        <x:v>BIOCHIMICO</x:v>
      </x:c>
      <x:c r="M268" s="28" t="str"/>
      <x:c r="N268" s="28" t="str">
        <x:f>"30049099"</x:f>
        <x:v>30049099</x:v>
      </x:c>
      <x:c r="O268" s="29" t="n">
        <x:v>220</x:v>
      </x:c>
      <x:c r="P268" s="29" t="n">
        <x:v>330</x:v>
      </x:c>
      <x:c r="Q268" s="28" t="str">
        <x:f>"731 | 732 | 733"</x:f>
        <x:v>731 | 732 | 733</x:v>
      </x:c>
      <x:c r="R268" s="28" t="str">
        <x:f>"SS20007 | SS20006 | SS20009"</x:f>
        <x:v>SS20007 | SS20006 | SS20009</x:v>
      </x:c>
      <x:c r="S268" s="22" t="str">
        <x:v>varios codigos legados consolidados em um produto; GTIN ausente ou invalido</x:v>
      </x:c>
      <x:c r="T268" s="22" t="str">
        <x:v>SEVOFLURANO SEVONESS - 250ML - UNIDADE - UND - BIOCHIMICO</x:v>
      </x:c>
      <x:c r="U268" s="27" t="str"/>
      <x:c r="V268" s="27" t="str"/>
    </x:row>
    <x:row r="269">
      <x:c r="A269" s="28" t="str">
        <x:f>"G-278"</x:f>
        <x:v>G-278</x:v>
      </x:c>
      <x:c r="B269" s="22" t="str">
        <x:v>SONDA ENDOTRAQUEAL ARAMADA COM BALAO</x:v>
      </x:c>
      <x:c r="C269" s="22" t="str">
        <x:v>BAIXO</x:v>
      </x:c>
      <x:c r="D269" s="22" t="str">
        <x:v>REVISAR possível duplicidade</x:v>
      </x:c>
      <x:c r="E269" s="28" t="str">
        <x:f>"SE50002"</x:f>
        <x:v>SE50002</x:v>
      </x:c>
      <x:c r="F269" s="22" t="str">
        <x:v>SONDA ENDOTRAQUEAL 5.0 ARAMADA COM BALÃO - CX/10 - WELLEAD</x:v>
      </x:c>
      <x:c r="G269" s="22" t="str">
        <x:v>SONDA ENDOTRAQUEAL ARAMADA COM BALAO</x:v>
      </x:c>
      <x:c r="H269" s="22" t="str"/>
      <x:c r="I269" s="22" t="str"/>
      <x:c r="J269" s="22" t="str">
        <x:v>CX/10 | CX | CONTEUDO10 | FATOR10</x:v>
      </x:c>
      <x:c r="K269" s="22" t="str">
        <x:v>CAIXA</x:v>
      </x:c>
      <x:c r="L269" s="22" t="str">
        <x:v>WELLEAD</x:v>
      </x:c>
      <x:c r="M269" s="28" t="str">
        <x:f>"GTIN: 7898157722509"</x:f>
        <x:v>GTIN: 7898157722509</x:v>
      </x:c>
      <x:c r="N269" s="28" t="str">
        <x:f>"90183921"</x:f>
        <x:v>90183921</x:v>
      </x:c>
      <x:c r="O269" s="29" t="n">
        <x:v>1</x:v>
      </x:c>
      <x:c r="P269" s="29" t="n">
        <x:v>9.58</x:v>
      </x:c>
      <x:c r="Q269" s="28" t="str">
        <x:f>"742"</x:f>
        <x:v>742</x:v>
      </x:c>
      <x:c r="R269" s="28" t="str">
        <x:f>"SE50002"</x:f>
        <x:v>SE50002</x:v>
      </x:c>
      <x:c r="S269" s="22" t="str"/>
      <x:c r="T269" s="22" t="str">
        <x:v>SONDA ENDOTRAQUEAL ARAMADA COM BALAO - CAIXA - CX/10 | CX | CONTEUDO10 | FATOR10 - WELLEAD</x:v>
      </x:c>
      <x:c r="U269" s="27" t="str"/>
      <x:c r="V269" s="27" t="str"/>
    </x:row>
    <x:row r="270">
      <x:c r="A270" s="28" t="str">
        <x:f>"G-278"</x:f>
        <x:v>G-278</x:v>
      </x:c>
      <x:c r="B270" s="22" t="str">
        <x:v>SONDA ENDOTRAQUEAL ARAMADA COM BALAO</x:v>
      </x:c>
      <x:c r="C270" s="22" t="str">
        <x:v>BAIXO</x:v>
      </x:c>
      <x:c r="D270" s="22" t="str">
        <x:v>REVISAR possível duplicidade</x:v>
      </x:c>
      <x:c r="E270" s="28" t="str">
        <x:f>"SE50003"</x:f>
        <x:v>SE50003</x:v>
      </x:c>
      <x:c r="F270" s="22" t="str">
        <x:v>SONDA ENDOTRAQUEAL 5.5 ARAMADA COM BALÃO - CX/10 - WELLEAD</x:v>
      </x:c>
      <x:c r="G270" s="22" t="str">
        <x:v>SONDA ENDOTRAQUEAL ARAMADA COM BALAO</x:v>
      </x:c>
      <x:c r="H270" s="22" t="str"/>
      <x:c r="I270" s="22" t="str"/>
      <x:c r="J270" s="22" t="str">
        <x:v>CX/10 | CX | CONTEUDO10 | FATOR10</x:v>
      </x:c>
      <x:c r="K270" s="22" t="str">
        <x:v>CAIXA</x:v>
      </x:c>
      <x:c r="L270" s="22" t="str">
        <x:v>WELLEAD</x:v>
      </x:c>
      <x:c r="M270" s="28" t="str">
        <x:f>"GTIN: 7899780169686"</x:f>
        <x:v>GTIN: 7899780169686</x:v>
      </x:c>
      <x:c r="N270" s="28" t="str">
        <x:f>"90183921"</x:f>
        <x:v>90183921</x:v>
      </x:c>
      <x:c r="O270" s="29" t="n">
        <x:v>1</x:v>
      </x:c>
      <x:c r="P270" s="29" t="n">
        <x:v>9.87</x:v>
      </x:c>
      <x:c r="Q270" s="28" t="str">
        <x:f>"743"</x:f>
        <x:v>743</x:v>
      </x:c>
      <x:c r="R270" s="28" t="str">
        <x:f>"SE50003"</x:f>
        <x:v>SE50003</x:v>
      </x:c>
      <x:c r="S270" s="22" t="str"/>
      <x:c r="T270" s="22" t="str">
        <x:v>SONDA ENDOTRAQUEAL ARAMADA COM BALAO - CAIXA - CX/10 | CX | CONTEUDO10 | FATOR10 - WELLEAD</x:v>
      </x:c>
      <x:c r="U270" s="27" t="str"/>
      <x:c r="V270" s="27" t="str"/>
    </x:row>
    <x:row r="271">
      <x:c r="A271" s="28" t="str">
        <x:f>"G-283"</x:f>
        <x:v>G-283</x:v>
      </x:c>
      <x:c r="B271" s="22" t="str">
        <x:v>SULFATO EFEDRINA</x:v>
      </x:c>
      <x:c r="C271" s="22" t="str">
        <x:v>BAIXO</x:v>
      </x:c>
      <x:c r="D271" s="22" t="str">
        <x:v>REVISAR possível duplicidade</x:v>
      </x:c>
      <x:c r="E271" s="28" t="str">
        <x:f>"SE50001"</x:f>
        <x:v>SE50001</x:v>
      </x:c>
      <x:c r="F271" s="22" t="str">
        <x:v>SULFATO DE EFEDRINA 50MG/ML 1ML - CX/25 - HIPOLABOR</x:v>
      </x:c>
      <x:c r="G271" s="22" t="str">
        <x:v>SULFATO EFEDRINA</x:v>
      </x:c>
      <x:c r="H271" s="22" t="str">
        <x:v>50MG/ML | 50MG | 1ML</x:v>
      </x:c>
      <x:c r="I271" s="22" t="str"/>
      <x:c r="J271" s="22" t="str">
        <x:v>CX/25 | CX | CONTEUDO25 | FATOR25</x:v>
      </x:c>
      <x:c r="K271" s="22" t="str">
        <x:v>CAIXA</x:v>
      </x:c>
      <x:c r="L271" s="22" t="str">
        <x:v>HIPOLABOR</x:v>
      </x:c>
      <x:c r="M271" s="28" t="str">
        <x:f>"GTIN: 7896006238690"</x:f>
        <x:v>GTIN: 7896006238690</x:v>
      </x:c>
      <x:c r="N271" s="28" t="str">
        <x:f>"30044100"</x:f>
        <x:v>30044100</x:v>
      </x:c>
      <x:c r="O271" s="29" t="n">
        <x:v>3</x:v>
      </x:c>
      <x:c r="P271" s="29" t="n">
        <x:v>6.55</x:v>
      </x:c>
      <x:c r="Q271" s="28" t="str">
        <x:f>"761"</x:f>
        <x:v>761</x:v>
      </x:c>
      <x:c r="R271" s="28" t="str">
        <x:f>"SE50001"</x:f>
        <x:v>SE50001</x:v>
      </x:c>
      <x:c r="S271" s="22" t="str">
        <x:v>GTIN repetido em produtos distintos</x:v>
      </x:c>
      <x:c r="T271" s="22" t="str">
        <x:v>SULFATO EFEDRINA - 50MG/ML | 50MG | 1ML - CAIXA - CX/25 | CX | CONTEUDO25 | FATOR25 - HIPOLABOR</x:v>
      </x:c>
      <x:c r="U271" s="27" t="str"/>
      <x:c r="V271" s="27" t="str"/>
    </x:row>
    <x:row r="272">
      <x:c r="A272" s="28" t="str">
        <x:f>"G-283"</x:f>
        <x:v>G-283</x:v>
      </x:c>
      <x:c r="B272" s="22" t="str">
        <x:v>SULFATO EFEDRINA</x:v>
      </x:c>
      <x:c r="C272" s="22" t="str">
        <x:v>BAIXO</x:v>
      </x:c>
      <x:c r="D272" s="22" t="str">
        <x:v>REVISAR possível duplicidade</x:v>
      </x:c>
      <x:c r="E272" s="28" t="str">
        <x:f>"SE50005"</x:f>
        <x:v>SE50005</x:v>
      </x:c>
      <x:c r="F272" s="22" t="str">
        <x:v>SULFATO DE EFEDRINA 50MG/ML 1ML - CX/25 - UNIÃO QUIMICA</x:v>
      </x:c>
      <x:c r="G272" s="22" t="str">
        <x:v>SULFATO EFEDRINA</x:v>
      </x:c>
      <x:c r="H272" s="22" t="str">
        <x:v>50MG/ML | 50MG | 1ML</x:v>
      </x:c>
      <x:c r="I272" s="22" t="str"/>
      <x:c r="J272" s="22" t="str">
        <x:v>CX/25 | CX | CONTEUDO25 | FATOR25</x:v>
      </x:c>
      <x:c r="K272" s="22" t="str">
        <x:v>CAIXA</x:v>
      </x:c>
      <x:c r="L272" s="22" t="str">
        <x:v>UNIÃO QUIMICA</x:v>
      </x:c>
      <x:c r="M272" s="28" t="str">
        <x:f>"GTIN: 7896006238690"</x:f>
        <x:v>GTIN: 7896006238690</x:v>
      </x:c>
      <x:c r="N272" s="28" t="str">
        <x:f>"30044100"</x:f>
        <x:v>30044100</x:v>
      </x:c>
      <x:c r="O272" s="29" t="n">
        <x:v>3</x:v>
      </x:c>
      <x:c r="P272" s="29" t="n">
        <x:v>6.55</x:v>
      </x:c>
      <x:c r="Q272" s="28" t="str">
        <x:f>"762 | 763 | 764 | 765"</x:f>
        <x:v>762 | 763 | 764 | 765</x:v>
      </x:c>
      <x:c r="R272" s="28" t="str">
        <x:f>"CE50007 | SE50004 | SE50005 | SE50006"</x:f>
        <x:v>CE50007 | SE50004 | SE50005 | SE50006</x:v>
      </x:c>
      <x:c r="S272" s="22" t="str">
        <x:v>varios codigos legados consolidados em um produto; GTIN repetido em produtos distintos</x:v>
      </x:c>
      <x:c r="T272" s="22" t="str">
        <x:v>SULFATO EFEDRINA - 50MG/ML | 50MG | 1ML - CAIXA - CX/25 | CX | CONTEUDO25 | FATOR25 - UNIÃO QUIMICA</x:v>
      </x:c>
      <x:c r="U272" s="27" t="str"/>
      <x:c r="V272" s="27" t="str"/>
    </x:row>
    <x:row r="273">
      <x:c r="A273" s="28" t="str">
        <x:f>"G-294"</x:f>
        <x:v>G-294</x:v>
      </x:c>
      <x:c r="B273" s="22" t="str">
        <x:v>TOUCA BRANCA DESC SANFONADA ELASTICO</x:v>
      </x:c>
      <x:c r="C273" s="22" t="str">
        <x:v>BAIXO</x:v>
      </x:c>
      <x:c r="D273" s="22" t="str">
        <x:v>REVISAR possível duplicidade</x:v>
      </x:c>
      <x:c r="E273" s="28" t="str">
        <x:f>"TBD0001"</x:f>
        <x:v>TBD0001</x:v>
      </x:c>
      <x:c r="F273" s="22" t="str">
        <x:v>TOUCA BRANCA DESC. SANFONADA C/ELASTICO - PCT/100 - ANADONA</x:v>
      </x:c>
      <x:c r="G273" s="22" t="str">
        <x:v>TOUCA BRANCA DESC SANFONADA ELASTICO</x:v>
      </x:c>
      <x:c r="H273" s="22" t="str"/>
      <x:c r="I273" s="22" t="str"/>
      <x:c r="J273" s="22" t="str">
        <x:v>PCT/100 | PC | CONTEUDO100 | FATOR100</x:v>
      </x:c>
      <x:c r="K273" s="22" t="str">
        <x:v>OUTRA</x:v>
      </x:c>
      <x:c r="L273" s="22" t="str">
        <x:v>ANADONA</x:v>
      </x:c>
      <x:c r="M273" s="28" t="str">
        <x:f>"GTIN: 7898433202565"</x:f>
        <x:v>GTIN: 7898433202565</x:v>
      </x:c>
      <x:c r="N273" s="28" t="str">
        <x:f>"62101000"</x:f>
        <x:v>62101000</x:v>
      </x:c>
      <x:c r="O273" s="29" t="n">
        <x:v>5.7</x:v>
      </x:c>
      <x:c r="P273" s="29" t="n">
        <x:v>9</x:v>
      </x:c>
      <x:c r="Q273" s="28" t="str">
        <x:f>"799"</x:f>
        <x:v>799</x:v>
      </x:c>
      <x:c r="R273" s="28" t="str">
        <x:f>"TBD0001"</x:f>
        <x:v>TBD0001</x:v>
      </x:c>
      <x:c r="S273" s="22" t="str"/>
      <x:c r="T273" s="22" t="str">
        <x:v>TOUCA BRANCA DESC SANFONADA ELASTICO - OUTRA - PCT/100 | PC | CONTEUDO100 | FATOR100 - ANADONA</x:v>
      </x:c>
      <x:c r="U273" s="27" t="str"/>
      <x:c r="V273" s="27" t="str"/>
    </x:row>
    <x:row r="274">
      <x:c r="A274" s="28" t="str">
        <x:f>"G-294"</x:f>
        <x:v>G-294</x:v>
      </x:c>
      <x:c r="B274" s="22" t="str">
        <x:v>TOUCA BRANCA DESC SANFONADA ELASTICO</x:v>
      </x:c>
      <x:c r="C274" s="22" t="str">
        <x:v>BAIXO</x:v>
      </x:c>
      <x:c r="D274" s="22" t="str">
        <x:v>REVISAR possível duplicidade</x:v>
      </x:c>
      <x:c r="E274" s="28" t="str">
        <x:f>"TBD0004"</x:f>
        <x:v>TBD0004</x:v>
      </x:c>
      <x:c r="F274" s="22" t="str">
        <x:v>TOUCA BRANCA DESC. SANFONADA C/ELASTICO - PCT/100 - DEJAMARO</x:v>
      </x:c>
      <x:c r="G274" s="22" t="str">
        <x:v>TOUCA BRANCA DESC SANFONADA ELASTICO</x:v>
      </x:c>
      <x:c r="H274" s="22" t="str"/>
      <x:c r="I274" s="22" t="str"/>
      <x:c r="J274" s="22" t="str">
        <x:v>PCT/100 | PC | CONTEUDO100 | FATOR100</x:v>
      </x:c>
      <x:c r="K274" s="22" t="str">
        <x:v>OUTRA</x:v>
      </x:c>
      <x:c r="L274" s="22" t="str">
        <x:v>DEJAMARO</x:v>
      </x:c>
      <x:c r="M274" s="28" t="str"/>
      <x:c r="N274" s="28" t="str">
        <x:f>"62101000"</x:f>
        <x:v>62101000</x:v>
      </x:c>
      <x:c r="O274" s="29" t="n">
        <x:v>5.7</x:v>
      </x:c>
      <x:c r="P274" s="29" t="n">
        <x:v>9</x:v>
      </x:c>
      <x:c r="Q274" s="28" t="str">
        <x:f>"800"</x:f>
        <x:v>800</x:v>
      </x:c>
      <x:c r="R274" s="28" t="str">
        <x:f>"TBD0004"</x:f>
        <x:v>TBD0004</x:v>
      </x:c>
      <x:c r="S274" s="22" t="str">
        <x:v>GTIN ausente ou invalido</x:v>
      </x:c>
      <x:c r="T274" s="22" t="str">
        <x:v>TOUCA BRANCA DESC SANFONADA ELASTICO - OUTRA - PCT/100 | PC | CONTEUDO100 | FATOR100 - DEJAMARO</x:v>
      </x:c>
      <x:c r="U274" s="27" t="str"/>
      <x:c r="V274" s="27" t="str"/>
    </x:row>
  </x:sheetData>
  <x:mergeCells>
    <x:mergeCell ref="A1:J1"/>
    <x:mergeCell ref="A2:J2"/>
  </x:mergeCells>
  <x:conditionalFormatting sqref="C5:C274">
    <x:cfRule type="containsText" dxfId="3" priority="1" operator="containsText" text="ALTO"/>
    <x:cfRule type="containsText" dxfId="4" priority="2" operator="containsText" text="MÉDIO"/>
    <x:cfRule type="containsText" dxfId="5" priority="3" operator="containsText" text="BAIXO"/>
  </x:conditionalFormatting>
  <x:pageMargins left="0.7" right="0.7" top="0.75" bottom="0.75" header="0.3" footer="0.3"/>
  <x:tableParts count="1">
    <x:tablePart xmlns:r="http://schemas.openxmlformats.org/officeDocument/2006/relationships" r:id="Rd963f8e6f44c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6" hidden="0" customWidth="1"/>
    <x:col min="4" max="4" width="12" hidden="0" customWidth="1"/>
    <x:col min="5" max="5" width="12" hidden="0" customWidth="1"/>
    <x:col min="6" max="6" width="38" hidden="0" customWidth="1"/>
    <x:col min="7" max="7" width="14" hidden="0" customWidth="1"/>
    <x:col min="8" max="8" width="56" hidden="0" customWidth="1"/>
    <x:col min="9" max="9" width="26" hidden="0" customWidth="1"/>
    <x:col min="10" max="10" width="24" hidden="0" customWidth="1"/>
    <x:col min="11" max="11" width="22" hidden="0" customWidth="1"/>
    <x:col min="12" max="12" width="18" hidden="0" customWidth="1"/>
    <x:col min="13" max="13" width="18" hidden="0" customWidth="1"/>
    <x:col min="14" max="14" width="14" hidden="0" customWidth="1"/>
    <x:col min="15" max="15" width="22" hidden="0" customWidth="1"/>
    <x:col min="16" max="16" width="44" hidden="0" customWidth="1"/>
  </x:cols>
  <x:sheetData>
    <x:row r="1" ht="28" customHeight="1">
      <x:c r="A1" s="3" t="str">
        <x:v>Possíveis duplicidades reais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Mesma base e mesma especificação detectada. Pode ser duplicidade, ou pode ser produto separado por marca/fabricante/GTIN conforme a política comercial.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26" t="str">
        <x:v>Dup_ID</x:v>
      </x:c>
      <x:c r="B4" s="26" t="str">
        <x:v>Nome_Base</x:v>
      </x:c>
      <x:c r="C4" s="26" t="str">
        <x:v>Especificacao_Normalizada</x:v>
      </x:c>
      <x:c r="D4" s="26" t="str">
        <x:v>Qtd_No_Grupo</x:v>
      </x:c>
      <x:c r="E4" s="26" t="str">
        <x:v>Risco</x:v>
      </x:c>
      <x:c r="F4" s="26" t="str">
        <x:v>Acao_Sugerida</x:v>
      </x:c>
      <x:c r="G4" s="26" t="str">
        <x:v>Codigo</x:v>
      </x:c>
      <x:c r="H4" s="26" t="str">
        <x:v>Descricao_Atual</x:v>
      </x:c>
      <x:c r="I4" s="26" t="str">
        <x:v>Dosagem_Volume_%</x:v>
      </x:c>
      <x:c r="J4" s="26" t="str">
        <x:v>Dimensao_Calibre</x:v>
      </x:c>
      <x:c r="K4" s="26" t="str">
        <x:v>Embalagem</x:v>
      </x:c>
      <x:c r="L4" s="26" t="str">
        <x:v>Marca</x:v>
      </x:c>
      <x:c r="M4" s="26" t="str">
        <x:v>GTIN</x:v>
      </x:c>
      <x:c r="N4" s="26" t="str">
        <x:v>Linhas_Fonte</x:v>
      </x:c>
      <x:c r="O4" s="26" t="str">
        <x:v>Decisao_Manual</x:v>
      </x:c>
      <x:c r="P4" s="26" t="str">
        <x:v>Observacao</x:v>
      </x:c>
    </x:row>
    <x:row r="5">
      <x:c r="A5" s="28" t="str">
        <x:f>"DUP-001"</x:f>
        <x:v>DUP-001</x:v>
      </x:c>
      <x:c r="B5" s="22" t="str">
        <x:v>TUBO ENDOTRAQUEAL ARAMADO BALAO</x:v>
      </x:c>
      <x:c r="C5" s="22" t="str">
        <x:v>CAIXA CX 25 CX CONTEUDO25 FATOR25</x:v>
      </x:c>
      <x:c r="D5" s="22" t="n">
        <x:v>9</x:v>
      </x:c>
      <x:c r="E5" s="22" t="str">
        <x:v>ALTO</x:v>
      </x:c>
      <x:c r="F5" s="22" t="str">
        <x:v>Candidato forte a consolidação, validar antes</x:v>
      </x:c>
      <x:c r="G5" s="28" t="str">
        <x:f>"TEA0010"</x:f>
        <x:v>TEA0010</x:v>
      </x:c>
      <x:c r="H5" s="22" t="str">
        <x:v>TUBO ENDOTRAQUEAL ARAMADO C/BALÃO 3,5 - CX/25 - MEDIX</x:v>
      </x:c>
      <x:c r="I5" s="22" t="str"/>
      <x:c r="J5" s="22" t="str"/>
      <x:c r="K5" s="22" t="str">
        <x:v>CX/25 | CX | CONTEUDO25 | FATOR25</x:v>
      </x:c>
      <x:c r="L5" s="22" t="str">
        <x:v>MEDIX</x:v>
      </x:c>
      <x:c r="M5" s="28" t="str">
        <x:f>"GTIN: 7898913077164"</x:f>
        <x:v>GTIN: 7898913077164</x:v>
      </x:c>
      <x:c r="N5" s="28" t="str">
        <x:f>"801"</x:f>
        <x:v>801</x:v>
      </x:c>
      <x:c r="O5" s="27" t="str"/>
      <x:c r="P5" s="27" t="str"/>
    </x:row>
    <x:row r="6">
      <x:c r="A6" s="28" t="str">
        <x:f>"DUP-001"</x:f>
        <x:v>DUP-001</x:v>
      </x:c>
      <x:c r="B6" s="22" t="str">
        <x:v>TUBO ENDOTRAQUEAL ARAMADO BALAO</x:v>
      </x:c>
      <x:c r="C6" s="22" t="str">
        <x:v>CAIXA CX 25 CX CONTEUDO25 FATOR25</x:v>
      </x:c>
      <x:c r="D6" s="22" t="n">
        <x:v>9</x:v>
      </x:c>
      <x:c r="E6" s="22" t="str">
        <x:v>ALTO</x:v>
      </x:c>
      <x:c r="F6" s="22" t="str">
        <x:v>Candidato forte a consolidação, validar antes</x:v>
      </x:c>
      <x:c r="G6" s="28" t="str">
        <x:f>"TEA0009"</x:f>
        <x:v>TEA0009</x:v>
      </x:c>
      <x:c r="H6" s="22" t="str">
        <x:v>TUBO ENDOTRAQUEAL ARAMADO C/BALÃO 4,0 - CX/25 - MEDIX</x:v>
      </x:c>
      <x:c r="I6" s="22" t="str"/>
      <x:c r="J6" s="22" t="str"/>
      <x:c r="K6" s="22" t="str">
        <x:v>CX/25 | CX | CONTEUDO25 | FATOR25</x:v>
      </x:c>
      <x:c r="L6" s="22" t="str">
        <x:v>MEDIX</x:v>
      </x:c>
      <x:c r="M6" s="28" t="str">
        <x:f>"GTIN: 7898913077164"</x:f>
        <x:v>GTIN: 7898913077164</x:v>
      </x:c>
      <x:c r="N6" s="28" t="str">
        <x:f>"802"</x:f>
        <x:v>802</x:v>
      </x:c>
      <x:c r="O6" s="27" t="str"/>
      <x:c r="P6" s="27" t="str"/>
    </x:row>
    <x:row r="7">
      <x:c r="A7" s="28" t="str">
        <x:f>"DUP-001"</x:f>
        <x:v>DUP-001</x:v>
      </x:c>
      <x:c r="B7" s="22" t="str">
        <x:v>TUBO ENDOTRAQUEAL ARAMADO BALAO</x:v>
      </x:c>
      <x:c r="C7" s="22" t="str">
        <x:v>CAIXA CX 25 CX CONTEUDO25 FATOR25</x:v>
      </x:c>
      <x:c r="D7" s="22" t="n">
        <x:v>9</x:v>
      </x:c>
      <x:c r="E7" s="22" t="str">
        <x:v>ALTO</x:v>
      </x:c>
      <x:c r="F7" s="22" t="str">
        <x:v>Candidato forte a consolidação, validar antes</x:v>
      </x:c>
      <x:c r="G7" s="28" t="str">
        <x:f>"TEA0002"</x:f>
        <x:v>TEA0002</x:v>
      </x:c>
      <x:c r="H7" s="22" t="str">
        <x:v>TUBO ENDOTRAQUEAL ARAMADO C/BALÃO 4.5 - CX/25 - MEDIX</x:v>
      </x:c>
      <x:c r="I7" s="22" t="str"/>
      <x:c r="J7" s="22" t="str"/>
      <x:c r="K7" s="22" t="str">
        <x:v>CX/25 | CX | CONTEUDO25 | FATOR25</x:v>
      </x:c>
      <x:c r="L7" s="22" t="str">
        <x:v>MEDIX</x:v>
      </x:c>
      <x:c r="M7" s="28" t="str">
        <x:f>"GTIN: 7898913077164"</x:f>
        <x:v>GTIN: 7898913077164</x:v>
      </x:c>
      <x:c r="N7" s="28" t="str">
        <x:f>"803"</x:f>
        <x:v>803</x:v>
      </x:c>
      <x:c r="O7" s="27" t="str"/>
      <x:c r="P7" s="27" t="str"/>
    </x:row>
    <x:row r="8">
      <x:c r="A8" s="28" t="str">
        <x:f>"DUP-001"</x:f>
        <x:v>DUP-001</x:v>
      </x:c>
      <x:c r="B8" s="22" t="str">
        <x:v>TUBO ENDOTRAQUEAL ARAMADO BALAO</x:v>
      </x:c>
      <x:c r="C8" s="22" t="str">
        <x:v>CAIXA CX 25 CX CONTEUDO25 FATOR25</x:v>
      </x:c>
      <x:c r="D8" s="22" t="n">
        <x:v>9</x:v>
      </x:c>
      <x:c r="E8" s="22" t="str">
        <x:v>ALTO</x:v>
      </x:c>
      <x:c r="F8" s="22" t="str">
        <x:v>Candidato forte a consolidação, validar antes</x:v>
      </x:c>
      <x:c r="G8" s="28" t="str">
        <x:f>"TEA0006"</x:f>
        <x:v>TEA0006</x:v>
      </x:c>
      <x:c r="H8" s="22" t="str">
        <x:v>TUBO ENDOTRAQUEAL ARAMADO C/BALÃO 5,0 - CX/25 - MEDIX</x:v>
      </x:c>
      <x:c r="I8" s="22" t="str"/>
      <x:c r="J8" s="22" t="str"/>
      <x:c r="K8" s="22" t="str">
        <x:v>CX/25 | CX | CONTEUDO25 | FATOR25</x:v>
      </x:c>
      <x:c r="L8" s="22" t="str">
        <x:v>MEDIX</x:v>
      </x:c>
      <x:c r="M8" s="28" t="str">
        <x:f>"GTIN: 7898913077164"</x:f>
        <x:v>GTIN: 7898913077164</x:v>
      </x:c>
      <x:c r="N8" s="28" t="str">
        <x:f>"804"</x:f>
        <x:v>804</x:v>
      </x:c>
      <x:c r="O8" s="27" t="str"/>
      <x:c r="P8" s="27" t="str"/>
    </x:row>
    <x:row r="9">
      <x:c r="A9" s="28" t="str">
        <x:f>"DUP-001"</x:f>
        <x:v>DUP-001</x:v>
      </x:c>
      <x:c r="B9" s="22" t="str">
        <x:v>TUBO ENDOTRAQUEAL ARAMADO BALAO</x:v>
      </x:c>
      <x:c r="C9" s="22" t="str">
        <x:v>CAIXA CX 25 CX CONTEUDO25 FATOR25</x:v>
      </x:c>
      <x:c r="D9" s="22" t="n">
        <x:v>9</x:v>
      </x:c>
      <x:c r="E9" s="22" t="str">
        <x:v>ALTO</x:v>
      </x:c>
      <x:c r="F9" s="22" t="str">
        <x:v>Candidato forte a consolidação, validar antes</x:v>
      </x:c>
      <x:c r="G9" s="28" t="str">
        <x:f>"TEA0003"</x:f>
        <x:v>TEA0003</x:v>
      </x:c>
      <x:c r="H9" s="22" t="str">
        <x:v>TUBO ENDOTRAQUEAL ARAMADO C/BALÃO 5.5 - CX/25 - MEDIX</x:v>
      </x:c>
      <x:c r="I9" s="22" t="str"/>
      <x:c r="J9" s="22" t="str"/>
      <x:c r="K9" s="22" t="str">
        <x:v>CX/25 | CX | CONTEUDO25 | FATOR25</x:v>
      </x:c>
      <x:c r="L9" s="22" t="str">
        <x:v>MEDIX</x:v>
      </x:c>
      <x:c r="M9" s="28" t="str">
        <x:f>"GTIN: 7898913077164"</x:f>
        <x:v>GTIN: 7898913077164</x:v>
      </x:c>
      <x:c r="N9" s="28" t="str">
        <x:f>"805"</x:f>
        <x:v>805</x:v>
      </x:c>
      <x:c r="O9" s="27" t="str"/>
      <x:c r="P9" s="27" t="str"/>
    </x:row>
    <x:row r="10">
      <x:c r="A10" s="28" t="str">
        <x:f>"DUP-001"</x:f>
        <x:v>DUP-001</x:v>
      </x:c>
      <x:c r="B10" s="22" t="str">
        <x:v>TUBO ENDOTRAQUEAL ARAMADO BALAO</x:v>
      </x:c>
      <x:c r="C10" s="22" t="str">
        <x:v>CAIXA CX 25 CX CONTEUDO25 FATOR25</x:v>
      </x:c>
      <x:c r="D10" s="22" t="n">
        <x:v>9</x:v>
      </x:c>
      <x:c r="E10" s="22" t="str">
        <x:v>ALTO</x:v>
      </x:c>
      <x:c r="F10" s="22" t="str">
        <x:v>Candidato forte a consolidação, validar antes</x:v>
      </x:c>
      <x:c r="G10" s="28" t="str">
        <x:f>"TEA0007"</x:f>
        <x:v>TEA0007</x:v>
      </x:c>
      <x:c r="H10" s="22" t="str">
        <x:v>TUBO ENDOTRAQUEAL ARAMADO C/BALÃO 6,0 - CX/25 - MEDIX</x:v>
      </x:c>
      <x:c r="I10" s="22" t="str"/>
      <x:c r="J10" s="22" t="str"/>
      <x:c r="K10" s="22" t="str">
        <x:v>CX/25 | CX | CONTEUDO25 | FATOR25</x:v>
      </x:c>
      <x:c r="L10" s="22" t="str">
        <x:v>MEDIX</x:v>
      </x:c>
      <x:c r="M10" s="28" t="str">
        <x:f>"GTIN: 7898913077164"</x:f>
        <x:v>GTIN: 7898913077164</x:v>
      </x:c>
      <x:c r="N10" s="28" t="str">
        <x:f>"806"</x:f>
        <x:v>806</x:v>
      </x:c>
      <x:c r="O10" s="27" t="str"/>
      <x:c r="P10" s="27" t="str"/>
    </x:row>
    <x:row r="11">
      <x:c r="A11" s="28" t="str">
        <x:f>"DUP-001"</x:f>
        <x:v>DUP-001</x:v>
      </x:c>
      <x:c r="B11" s="22" t="str">
        <x:v>TUBO ENDOTRAQUEAL ARAMADO BALAO</x:v>
      </x:c>
      <x:c r="C11" s="22" t="str">
        <x:v>CAIXA CX 25 CX CONTEUDO25 FATOR25</x:v>
      </x:c>
      <x:c r="D11" s="22" t="n">
        <x:v>9</x:v>
      </x:c>
      <x:c r="E11" s="22" t="str">
        <x:v>ALTO</x:v>
      </x:c>
      <x:c r="F11" s="22" t="str">
        <x:v>Candidato forte a consolidação, validar antes</x:v>
      </x:c>
      <x:c r="G11" s="28" t="str">
        <x:f>"TEA0004"</x:f>
        <x:v>TEA0004</x:v>
      </x:c>
      <x:c r="H11" s="22" t="str">
        <x:v>TUBO ENDOTRAQUEAL ARAMADO C/BALÃO 6.5 - CX/25 - MEDIX</x:v>
      </x:c>
      <x:c r="I11" s="22" t="str"/>
      <x:c r="J11" s="22" t="str"/>
      <x:c r="K11" s="22" t="str">
        <x:v>CX/25 | CX | CONTEUDO25 | FATOR25</x:v>
      </x:c>
      <x:c r="L11" s="22" t="str">
        <x:v>MEDIX</x:v>
      </x:c>
      <x:c r="M11" s="28" t="str">
        <x:f>"GTIN: 7898913077164"</x:f>
        <x:v>GTIN: 7898913077164</x:v>
      </x:c>
      <x:c r="N11" s="28" t="str">
        <x:f>"807"</x:f>
        <x:v>807</x:v>
      </x:c>
      <x:c r="O11" s="27" t="str"/>
      <x:c r="P11" s="27" t="str"/>
    </x:row>
    <x:row r="12">
      <x:c r="A12" s="28" t="str">
        <x:f>"DUP-001"</x:f>
        <x:v>DUP-001</x:v>
      </x:c>
      <x:c r="B12" s="22" t="str">
        <x:v>TUBO ENDOTRAQUEAL ARAMADO BALAO</x:v>
      </x:c>
      <x:c r="C12" s="22" t="str">
        <x:v>CAIXA CX 25 CX CONTEUDO25 FATOR25</x:v>
      </x:c>
      <x:c r="D12" s="22" t="n">
        <x:v>9</x:v>
      </x:c>
      <x:c r="E12" s="22" t="str">
        <x:v>ALTO</x:v>
      </x:c>
      <x:c r="F12" s="22" t="str">
        <x:v>Candidato forte a consolidação, validar antes</x:v>
      </x:c>
      <x:c r="G12" s="28" t="str">
        <x:f>"TEA0005"</x:f>
        <x:v>TEA0005</x:v>
      </x:c>
      <x:c r="H12" s="22" t="str">
        <x:v>TUBO ENDOTRAQUEAL ARAMADO C/BALÃO 8.5 - CX/25 - MEDIX</x:v>
      </x:c>
      <x:c r="I12" s="22" t="str"/>
      <x:c r="J12" s="22" t="str"/>
      <x:c r="K12" s="22" t="str">
        <x:v>CX/25 | CX | CONTEUDO25 | FATOR25</x:v>
      </x:c>
      <x:c r="L12" s="22" t="str">
        <x:v>MEDIX</x:v>
      </x:c>
      <x:c r="M12" s="28" t="str">
        <x:f>"GTIN: 7898913077164"</x:f>
        <x:v>GTIN: 7898913077164</x:v>
      </x:c>
      <x:c r="N12" s="28" t="str">
        <x:f>"809"</x:f>
        <x:v>809</x:v>
      </x:c>
      <x:c r="O12" s="27" t="str"/>
      <x:c r="P12" s="27" t="str"/>
    </x:row>
    <x:row r="13">
      <x:c r="A13" s="28" t="str">
        <x:f>"DUP-001"</x:f>
        <x:v>DUP-001</x:v>
      </x:c>
      <x:c r="B13" s="22" t="str">
        <x:v>TUBO ENDOTRAQUEAL ARAMADO BALAO</x:v>
      </x:c>
      <x:c r="C13" s="22" t="str">
        <x:v>CAIXA CX 25 CX CONTEUDO25 FATOR25</x:v>
      </x:c>
      <x:c r="D13" s="22" t="n">
        <x:v>9</x:v>
      </x:c>
      <x:c r="E13" s="22" t="str">
        <x:v>ALTO</x:v>
      </x:c>
      <x:c r="F13" s="22" t="str">
        <x:v>Candidato forte a consolidação, validar antes</x:v>
      </x:c>
      <x:c r="G13" s="28" t="str">
        <x:f>"TEA0008"</x:f>
        <x:v>TEA0008</x:v>
      </x:c>
      <x:c r="H13" s="22" t="str">
        <x:v>TUBO ENDOTRAQUEAL ARAMADO C/BALÃO 9,0 - CX/25 - MEDIX</x:v>
      </x:c>
      <x:c r="I13" s="22" t="str"/>
      <x:c r="J13" s="22" t="str"/>
      <x:c r="K13" s="22" t="str">
        <x:v>CX/25 | CX | CONTEUDO25 | FATOR25</x:v>
      </x:c>
      <x:c r="L13" s="22" t="str">
        <x:v>MEDIX</x:v>
      </x:c>
      <x:c r="M13" s="28" t="str">
        <x:f>"GTIN: 7898913077164"</x:f>
        <x:v>GTIN: 7898913077164</x:v>
      </x:c>
      <x:c r="N13" s="28" t="str">
        <x:f>"810"</x:f>
        <x:v>810</x:v>
      </x:c>
      <x:c r="O13" s="27" t="str"/>
      <x:c r="P13" s="27" t="str"/>
    </x:row>
    <x:row r="14">
      <x:c r="A14" s="28" t="str">
        <x:f>"DUP-002"</x:f>
        <x:v>DUP-002</x:v>
      </x:c>
      <x:c r="B14" s="22" t="str">
        <x:v>LUVA PROCEDIMENTO EM LATEX M COM PO</x:v>
      </x:c>
      <x:c r="C14" s="22" t="str">
        <x:v>CAIXA CX 100 CX CONTEUDO100 FATOR100</x:v>
      </x:c>
      <x:c r="D14" s="22" t="n">
        <x:v>5</x:v>
      </x:c>
      <x:c r="E14" s="22" t="str">
        <x:v>BAIXO</x:v>
      </x:c>
      <x:c r="F14" s="22" t="str">
        <x:v>Mesma especificação; decidir se marca/fabricante separa o SKU</x:v>
      </x:c>
      <x:c r="G14" s="28" t="str">
        <x:f>"LPE0012"</x:f>
        <x:v>LPE0012</x:v>
      </x:c>
      <x:c r="H14" s="22" t="str">
        <x:v>LUVA DE PROCEDIMENTO EM LATEX M COM PÓ - CX/100 - ABL</x:v>
      </x:c>
      <x:c r="I14" s="22" t="str"/>
      <x:c r="J14" s="22" t="str"/>
      <x:c r="K14" s="22" t="str">
        <x:v>CX/100 | CX | CONTEUDO100 | FATOR100</x:v>
      </x:c>
      <x:c r="L14" s="22" t="str">
        <x:v>ABL</x:v>
      </x:c>
      <x:c r="M14" s="28" t="str">
        <x:f>"GTIN: 7898283814680"</x:f>
        <x:v>GTIN: 7898283814680</x:v>
      </x:c>
      <x:c r="N14" s="28" t="str">
        <x:f>"561"</x:f>
        <x:v>561</x:v>
      </x:c>
      <x:c r="O14" s="27" t="str"/>
      <x:c r="P14" s="27" t="str"/>
    </x:row>
    <x:row r="15">
      <x:c r="A15" s="28" t="str">
        <x:f>"DUP-002"</x:f>
        <x:v>DUP-002</x:v>
      </x:c>
      <x:c r="B15" s="22" t="str">
        <x:v>LUVA PROCEDIMENTO EM LATEX M COM PO</x:v>
      </x:c>
      <x:c r="C15" s="22" t="str">
        <x:v>CAIXA CX 100 CX CONTEUDO100 FATOR100</x:v>
      </x:c>
      <x:c r="D15" s="22" t="n">
        <x:v>5</x:v>
      </x:c>
      <x:c r="E15" s="22" t="str">
        <x:v>BAIXO</x:v>
      </x:c>
      <x:c r="F15" s="22" t="str">
        <x:v>Mesma especificação; decidir se marca/fabricante separa o SKU</x:v>
      </x:c>
      <x:c r="G15" s="28" t="str">
        <x:f>"LPE0002"</x:f>
        <x:v>LPE0002</x:v>
      </x:c>
      <x:c r="H15" s="22" t="str">
        <x:v>LUVA DE PROCEDIMENTO EM LATEX M COM PÓ - CX/100 - DESCARPACK</x:v>
      </x:c>
      <x:c r="I15" s="22" t="str"/>
      <x:c r="J15" s="22" t="str"/>
      <x:c r="K15" s="22" t="str">
        <x:v>CX/100 | CX | CONTEUDO100 | FATOR100</x:v>
      </x:c>
      <x:c r="L15" s="22" t="str">
        <x:v>DESCARPACK</x:v>
      </x:c>
      <x:c r="M15" s="28" t="str">
        <x:f>"GTIN: 7898283814680"</x:f>
        <x:v>GTIN: 7898283814680</x:v>
      </x:c>
      <x:c r="N15" s="28" t="str">
        <x:f>"562"</x:f>
        <x:v>562</x:v>
      </x:c>
      <x:c r="O15" s="27" t="str"/>
      <x:c r="P15" s="27" t="str"/>
    </x:row>
    <x:row r="16">
      <x:c r="A16" s="28" t="str">
        <x:f>"DUP-002"</x:f>
        <x:v>DUP-002</x:v>
      </x:c>
      <x:c r="B16" s="22" t="str">
        <x:v>LUVA PROCEDIMENTO EM LATEX M COM PO</x:v>
      </x:c>
      <x:c r="C16" s="22" t="str">
        <x:v>CAIXA CX 100 CX CONTEUDO100 FATOR100</x:v>
      </x:c>
      <x:c r="D16" s="22" t="n">
        <x:v>5</x:v>
      </x:c>
      <x:c r="E16" s="22" t="str">
        <x:v>BAIXO</x:v>
      </x:c>
      <x:c r="F16" s="22" t="str">
        <x:v>Mesma especificação; decidir se marca/fabricante separa o SKU</x:v>
      </x:c>
      <x:c r="G16" s="28" t="str">
        <x:f>"LPE0001"</x:f>
        <x:v>LPE0001</x:v>
      </x:c>
      <x:c r="H16" s="22" t="str">
        <x:v>LUVA DE PROCEDIMENTO EM LATEX M COM PÓ - CX/100 - GLOMED</x:v>
      </x:c>
      <x:c r="I16" s="22" t="str"/>
      <x:c r="J16" s="22" t="str"/>
      <x:c r="K16" s="22" t="str">
        <x:v>CX/100 | CX | CONTEUDO100 | FATOR100</x:v>
      </x:c>
      <x:c r="L16" s="22" t="str">
        <x:v>GLOMED</x:v>
      </x:c>
      <x:c r="M16" s="28" t="str">
        <x:f>"GTIN: 7898283814680"</x:f>
        <x:v>GTIN: 7898283814680</x:v>
      </x:c>
      <x:c r="N16" s="28" t="str">
        <x:f>"563"</x:f>
        <x:v>563</x:v>
      </x:c>
      <x:c r="O16" s="27" t="str"/>
      <x:c r="P16" s="27" t="str"/>
    </x:row>
    <x:row r="17">
      <x:c r="A17" s="28" t="str">
        <x:f>"DUP-002"</x:f>
        <x:v>DUP-002</x:v>
      </x:c>
      <x:c r="B17" s="22" t="str">
        <x:v>LUVA PROCEDIMENTO EM LATEX M COM PO</x:v>
      </x:c>
      <x:c r="C17" s="22" t="str">
        <x:v>CAIXA CX 100 CX CONTEUDO100 FATOR100</x:v>
      </x:c>
      <x:c r="D17" s="22" t="n">
        <x:v>5</x:v>
      </x:c>
      <x:c r="E17" s="22" t="str">
        <x:v>BAIXO</x:v>
      </x:c>
      <x:c r="F17" s="22" t="str">
        <x:v>Mesma especificação; decidir se marca/fabricante separa o SKU</x:v>
      </x:c>
      <x:c r="G17" s="28" t="str">
        <x:f>"LPE0010"</x:f>
        <x:v>LPE0010</x:v>
      </x:c>
      <x:c r="H17" s="22" t="str">
        <x:v>LUVA DE PROCEDIMENTO EM LATEX M COM PÓ - CX/100 - LATEX BR</x:v>
      </x:c>
      <x:c r="I17" s="22" t="str"/>
      <x:c r="J17" s="22" t="str"/>
      <x:c r="K17" s="22" t="str">
        <x:v>CX/100 | CX | CONTEUDO100 | FATOR100</x:v>
      </x:c>
      <x:c r="L17" s="22" t="str">
        <x:v>LATEX BR</x:v>
      </x:c>
      <x:c r="M17" s="28" t="str"/>
      <x:c r="N17" s="28" t="str">
        <x:f>"564"</x:f>
        <x:v>564</x:v>
      </x:c>
      <x:c r="O17" s="27" t="str"/>
      <x:c r="P17" s="27" t="str"/>
    </x:row>
    <x:row r="18">
      <x:c r="A18" s="28" t="str">
        <x:f>"DUP-002"</x:f>
        <x:v>DUP-002</x:v>
      </x:c>
      <x:c r="B18" s="22" t="str">
        <x:v>LUVA PROCEDIMENTO EM LATEX M COM PO</x:v>
      </x:c>
      <x:c r="C18" s="22" t="str">
        <x:v>CAIXA CX 100 CX CONTEUDO100 FATOR100</x:v>
      </x:c>
      <x:c r="D18" s="22" t="n">
        <x:v>5</x:v>
      </x:c>
      <x:c r="E18" s="22" t="str">
        <x:v>BAIXO</x:v>
      </x:c>
      <x:c r="F18" s="22" t="str">
        <x:v>Mesma especificação; decidir se marca/fabricante separa o SKU</x:v>
      </x:c>
      <x:c r="G18" s="28" t="str">
        <x:f>"LPE0009"</x:f>
        <x:v>LPE0009</x:v>
      </x:c>
      <x:c r="H18" s="22" t="str">
        <x:v>LUVA DE PROCEDIMENTO EM LATEX M COM PÓ - CX/100 - MEDIX</x:v>
      </x:c>
      <x:c r="I18" s="22" t="str"/>
      <x:c r="J18" s="22" t="str"/>
      <x:c r="K18" s="22" t="str">
        <x:v>CX/100 | CX | CONTEUDO100 | FATOR100</x:v>
      </x:c>
      <x:c r="L18" s="22" t="str">
        <x:v>MEDIX</x:v>
      </x:c>
      <x:c r="M18" s="28" t="str">
        <x:f>"GTIN: 7898283814680"</x:f>
        <x:v>GTIN: 7898283814680</x:v>
      </x:c>
      <x:c r="N18" s="28" t="str">
        <x:f>"565 | 566"</x:f>
        <x:v>565 | 566</x:v>
      </x:c>
      <x:c r="O18" s="27" t="str"/>
      <x:c r="P18" s="27" t="str"/>
    </x:row>
    <x:row r="19">
      <x:c r="A19" s="28" t="str">
        <x:f>"DUP-003"</x:f>
        <x:v>DUP-003</x:v>
      </x:c>
      <x:c r="B19" s="22" t="str">
        <x:v>CATETER TRIPLO LUMEN 7FRX20CM</x:v>
      </x:c>
      <x:c r="C19" s="22" t="str">
        <x:v>UNIDADE UND</x:v>
      </x:c>
      <x:c r="D19" s="22" t="n">
        <x:v>4</x:v>
      </x:c>
      <x:c r="E19" s="22" t="str">
        <x:v>BAIXO</x:v>
      </x:c>
      <x:c r="F19" s="22" t="str">
        <x:v>Mesma especificação; decidir se marca/fabricante separa o SKU</x:v>
      </x:c>
      <x:c r="G19" s="28" t="str">
        <x:f>"CTL0010"</x:f>
        <x:v>CTL0010</x:v>
      </x:c>
      <x:c r="H19" s="22" t="str">
        <x:v>CATETER TRIPLO LUMEN 7FRX20CM - ALIVE HEART</x:v>
      </x:c>
      <x:c r="I19" s="22" t="str"/>
      <x:c r="J19" s="22" t="str"/>
      <x:c r="K19" s="22" t="str">
        <x:v>UND</x:v>
      </x:c>
      <x:c r="L19" s="22" t="str">
        <x:v>ALIVE HEART</x:v>
      </x:c>
      <x:c r="M19" s="28" t="str">
        <x:f>"GTIN: 7898230230239"</x:f>
        <x:v>GTIN: 7898230230239</x:v>
      </x:c>
      <x:c r="N19" s="28" t="str">
        <x:f>"123 | 124"</x:f>
        <x:v>123 | 124</x:v>
      </x:c>
      <x:c r="O19" s="27" t="str"/>
      <x:c r="P19" s="27" t="str"/>
    </x:row>
    <x:row r="20">
      <x:c r="A20" s="28" t="str">
        <x:f>"DUP-003"</x:f>
        <x:v>DUP-003</x:v>
      </x:c>
      <x:c r="B20" s="22" t="str">
        <x:v>CATETER TRIPLO LUMEN 7FRX20CM</x:v>
      </x:c>
      <x:c r="C20" s="22" t="str">
        <x:v>UNIDADE UND</x:v>
      </x:c>
      <x:c r="D20" s="22" t="n">
        <x:v>4</x:v>
      </x:c>
      <x:c r="E20" s="22" t="str">
        <x:v>BAIXO</x:v>
      </x:c>
      <x:c r="F20" s="22" t="str">
        <x:v>Mesma especificação; decidir se marca/fabricante separa o SKU</x:v>
      </x:c>
      <x:c r="G20" s="28" t="str">
        <x:f>"CTL0007"</x:f>
        <x:v>CTL0007</x:v>
      </x:c>
      <x:c r="H20" s="22" t="str">
        <x:v>CATETER TRIPLO LUMEN 7FRX20CM - ARROW</x:v>
      </x:c>
      <x:c r="I20" s="22" t="str"/>
      <x:c r="J20" s="22" t="str"/>
      <x:c r="K20" s="22" t="str">
        <x:v>UND</x:v>
      </x:c>
      <x:c r="L20" s="22" t="str">
        <x:v>ARROW</x:v>
      </x:c>
      <x:c r="M20" s="28" t="str">
        <x:f>"GTIN: 7898230230239"</x:f>
        <x:v>GTIN: 7898230230239</x:v>
      </x:c>
      <x:c r="N20" s="28" t="str">
        <x:f>"125"</x:f>
        <x:v>125</x:v>
      </x:c>
      <x:c r="O20" s="27" t="str"/>
      <x:c r="P20" s="27" t="str"/>
    </x:row>
    <x:row r="21">
      <x:c r="A21" s="28" t="str">
        <x:f>"DUP-003"</x:f>
        <x:v>DUP-003</x:v>
      </x:c>
      <x:c r="B21" s="22" t="str">
        <x:v>CATETER TRIPLO LUMEN 7FRX20CM</x:v>
      </x:c>
      <x:c r="C21" s="22" t="str">
        <x:v>UNIDADE UND</x:v>
      </x:c>
      <x:c r="D21" s="22" t="n">
        <x:v>4</x:v>
      </x:c>
      <x:c r="E21" s="22" t="str">
        <x:v>BAIXO</x:v>
      </x:c>
      <x:c r="F21" s="22" t="str">
        <x:v>Mesma especificação; decidir se marca/fabricante separa o SKU</x:v>
      </x:c>
      <x:c r="G21" s="28" t="str">
        <x:f>"CTL0009"</x:f>
        <x:v>CTL0009</x:v>
      </x:c>
      <x:c r="H21" s="22" t="str">
        <x:v>CATETER TRIPLO LUMEN 7FRX20CM - B BRAUN</x:v>
      </x:c>
      <x:c r="I21" s="22" t="str"/>
      <x:c r="J21" s="22" t="str"/>
      <x:c r="K21" s="22" t="str">
        <x:v>UND</x:v>
      </x:c>
      <x:c r="L21" s="22" t="str">
        <x:v>B BRAUN</x:v>
      </x:c>
      <x:c r="M21" s="28" t="str">
        <x:f>"GTIN: 7898230230239"</x:f>
        <x:v>GTIN: 7898230230239</x:v>
      </x:c>
      <x:c r="N21" s="28" t="str">
        <x:f>"117 | 118 | 119 | 120 | 121"</x:f>
        <x:v>117 | 118 | 119 | 120 | 121</x:v>
      </x:c>
      <x:c r="O21" s="27" t="str"/>
      <x:c r="P21" s="27" t="str"/>
    </x:row>
    <x:row r="22">
      <x:c r="A22" s="28" t="str">
        <x:f>"DUP-003"</x:f>
        <x:v>DUP-003</x:v>
      </x:c>
      <x:c r="B22" s="22" t="str">
        <x:v>CATETER TRIPLO LUMEN 7FRX20CM</x:v>
      </x:c>
      <x:c r="C22" s="22" t="str">
        <x:v>UNIDADE UND</x:v>
      </x:c>
      <x:c r="D22" s="22" t="n">
        <x:v>4</x:v>
      </x:c>
      <x:c r="E22" s="22" t="str">
        <x:v>BAIXO</x:v>
      </x:c>
      <x:c r="F22" s="22" t="str">
        <x:v>Mesma especificação; decidir se marca/fabricante separa o SKU</x:v>
      </x:c>
      <x:c r="G22" s="28" t="str">
        <x:f>"CTL0003"</x:f>
        <x:v>CTL0003</x:v>
      </x:c>
      <x:c r="H22" s="22" t="str">
        <x:v>CATETER TRIPLO LUMEN 7FRX20CM - BIOMEDICAL</x:v>
      </x:c>
      <x:c r="I22" s="22" t="str"/>
      <x:c r="J22" s="22" t="str"/>
      <x:c r="K22" s="22" t="str">
        <x:v>UND</x:v>
      </x:c>
      <x:c r="L22" s="22" t="str">
        <x:v>BIOMEDICAL</x:v>
      </x:c>
      <x:c r="M22" s="28" t="str">
        <x:f>"GTIN: 7898230230239"</x:f>
        <x:v>GTIN: 7898230230239</x:v>
      </x:c>
      <x:c r="N22" s="28" t="str">
        <x:f>"122 | 126"</x:f>
        <x:v>122 | 126</x:v>
      </x:c>
      <x:c r="O22" s="27" t="str"/>
      <x:c r="P22" s="27" t="str"/>
    </x:row>
    <x:row r="23">
      <x:c r="A23" s="28" t="str">
        <x:f>"DUP-004"</x:f>
        <x:v>DUP-004</x:v>
      </x:c>
      <x:c r="B23" s="22" t="str">
        <x:v>LUVA PROCEDIMENTO EM LATEX G COM PO</x:v>
      </x:c>
      <x:c r="C23" s="22" t="str">
        <x:v>CAIXA CX 100 CX CONTEUDO100 FATOR100</x:v>
      </x:c>
      <x:c r="D23" s="22" t="n">
        <x:v>4</x:v>
      </x:c>
      <x:c r="E23" s="22" t="str">
        <x:v>BAIXO</x:v>
      </x:c>
      <x:c r="F23" s="22" t="str">
        <x:v>Mesma especificação; decidir se marca/fabricante separa o SKU</x:v>
      </x:c>
      <x:c r="G23" s="28" t="str">
        <x:f>"LPE0006"</x:f>
        <x:v>LPE0006</x:v>
      </x:c>
      <x:c r="H23" s="22" t="str">
        <x:v>LUVA DE PROCEDIMENTO EM LATEX G COM PÓ - CX/100 - ABL</x:v>
      </x:c>
      <x:c r="I23" s="22" t="str"/>
      <x:c r="J23" s="22" t="str"/>
      <x:c r="K23" s="22" t="str">
        <x:v>CX/100 | CX | CONTEUDO100 | FATOR100</x:v>
      </x:c>
      <x:c r="L23" s="22" t="str">
        <x:v>ABL</x:v>
      </x:c>
      <x:c r="M23" s="28" t="str">
        <x:f>"GTIN: 7898283814680"</x:f>
        <x:v>GTIN: 7898283814680</x:v>
      </x:c>
      <x:c r="N23" s="28" t="str">
        <x:f>"557"</x:f>
        <x:v>557</x:v>
      </x:c>
      <x:c r="O23" s="27" t="str"/>
      <x:c r="P23" s="27" t="str"/>
    </x:row>
    <x:row r="24">
      <x:c r="A24" s="28" t="str">
        <x:f>"DUP-004"</x:f>
        <x:v>DUP-004</x:v>
      </x:c>
      <x:c r="B24" s="22" t="str">
        <x:v>LUVA PROCEDIMENTO EM LATEX G COM PO</x:v>
      </x:c>
      <x:c r="C24" s="22" t="str">
        <x:v>CAIXA CX 100 CX CONTEUDO100 FATOR100</x:v>
      </x:c>
      <x:c r="D24" s="22" t="n">
        <x:v>4</x:v>
      </x:c>
      <x:c r="E24" s="22" t="str">
        <x:v>BAIXO</x:v>
      </x:c>
      <x:c r="F24" s="22" t="str">
        <x:v>Mesma especificação; decidir se marca/fabricante separa o SKU</x:v>
      </x:c>
      <x:c r="G24" s="28" t="str">
        <x:f>"LPE0003"</x:f>
        <x:v>LPE0003</x:v>
      </x:c>
      <x:c r="H24" s="22" t="str">
        <x:v>LUVA DE PROCEDIMENTO EM LATEX G COM PÓ - CX/100 - DESCARPACK</x:v>
      </x:c>
      <x:c r="I24" s="22" t="str"/>
      <x:c r="J24" s="22" t="str"/>
      <x:c r="K24" s="22" t="str">
        <x:v>CX/100 | CX | CONTEUDO100 | FATOR100</x:v>
      </x:c>
      <x:c r="L24" s="22" t="str">
        <x:v>DESCARPACK</x:v>
      </x:c>
      <x:c r="M24" s="28" t="str">
        <x:f>"GTIN: 7898283814680"</x:f>
        <x:v>GTIN: 7898283814680</x:v>
      </x:c>
      <x:c r="N24" s="28" t="str">
        <x:f>"558"</x:f>
        <x:v>558</x:v>
      </x:c>
      <x:c r="O24" s="27" t="str"/>
      <x:c r="P24" s="27" t="str"/>
    </x:row>
    <x:row r="25">
      <x:c r="A25" s="28" t="str">
        <x:f>"DUP-004"</x:f>
        <x:v>DUP-004</x:v>
      </x:c>
      <x:c r="B25" s="22" t="str">
        <x:v>LUVA PROCEDIMENTO EM LATEX G COM PO</x:v>
      </x:c>
      <x:c r="C25" s="22" t="str">
        <x:v>CAIXA CX 100 CX CONTEUDO100 FATOR100</x:v>
      </x:c>
      <x:c r="D25" s="22" t="n">
        <x:v>4</x:v>
      </x:c>
      <x:c r="E25" s="22" t="str">
        <x:v>BAIXO</x:v>
      </x:c>
      <x:c r="F25" s="22" t="str">
        <x:v>Mesma especificação; decidir se marca/fabricante separa o SKU</x:v>
      </x:c>
      <x:c r="G25" s="28" t="str">
        <x:f>"LPE0008"</x:f>
        <x:v>LPE0008</x:v>
      </x:c>
      <x:c r="H25" s="22" t="str">
        <x:v>LUVA DE PROCEDIMENTO EM LATEX G COM PÓ - CX/100 - MEDIX</x:v>
      </x:c>
      <x:c r="I25" s="22" t="str"/>
      <x:c r="J25" s="22" t="str"/>
      <x:c r="K25" s="22" t="str">
        <x:v>CX/100 | CX | CONTEUDO100 | FATOR100</x:v>
      </x:c>
      <x:c r="L25" s="22" t="str">
        <x:v>MEDIX</x:v>
      </x:c>
      <x:c r="M25" s="28" t="str">
        <x:f>"GTIN: 7898283814680"</x:f>
        <x:v>GTIN: 7898283814680</x:v>
      </x:c>
      <x:c r="N25" s="28" t="str">
        <x:f>"559"</x:f>
        <x:v>559</x:v>
      </x:c>
      <x:c r="O25" s="27" t="str"/>
      <x:c r="P25" s="27" t="str"/>
    </x:row>
    <x:row r="26">
      <x:c r="A26" s="28" t="str">
        <x:f>"DUP-004"</x:f>
        <x:v>DUP-004</x:v>
      </x:c>
      <x:c r="B26" s="22" t="str">
        <x:v>LUVA PROCEDIMENTO EM LATEX G COM PO</x:v>
      </x:c>
      <x:c r="C26" s="22" t="str">
        <x:v>CAIXA CX 100 CX CONTEUDO100 FATOR100</x:v>
      </x:c>
      <x:c r="D26" s="22" t="n">
        <x:v>4</x:v>
      </x:c>
      <x:c r="E26" s="22" t="str">
        <x:v>BAIXO</x:v>
      </x:c>
      <x:c r="F26" s="22" t="str">
        <x:v>Mesma especificação; decidir se marca/fabricante separa o SKU</x:v>
      </x:c>
      <x:c r="G26" s="28" t="str">
        <x:f>"LPE0004"</x:f>
        <x:v>LPE0004</x:v>
      </x:c>
      <x:c r="H26" s="22" t="str">
        <x:v>LUVA DE PROCEDIMENTO EM LATEX G COM PÓ - CX/100 - PROCED</x:v>
      </x:c>
      <x:c r="I26" s="22" t="str"/>
      <x:c r="J26" s="22" t="str"/>
      <x:c r="K26" s="22" t="str">
        <x:v>CX/100 | CX | CONTEUDO100 | FATOR100</x:v>
      </x:c>
      <x:c r="L26" s="22" t="str">
        <x:v>PROCED</x:v>
      </x:c>
      <x:c r="M26" s="28" t="str">
        <x:f>"GTIN: 7898283814680"</x:f>
        <x:v>GTIN: 7898283814680</x:v>
      </x:c>
      <x:c r="N26" s="28" t="str">
        <x:f>"560"</x:f>
        <x:v>560</x:v>
      </x:c>
      <x:c r="O26" s="27" t="str"/>
      <x:c r="P26" s="27" t="str"/>
    </x:row>
    <x:row r="27">
      <x:c r="A27" s="28" t="str">
        <x:f>"DUP-005"</x:f>
        <x:v>DUP-005</x:v>
      </x:c>
      <x:c r="B27" s="22" t="str">
        <x:v>PIPERACILINA TAZOBACTAM</x:v>
      </x:c>
      <x:c r="C27" s="22" t="str">
        <x:v>4G 500MG 4G CAIXA CX 10 CX CONTEUDO10 FATOR10</x:v>
      </x:c>
      <x:c r="D27" s="22" t="n">
        <x:v>4</x:v>
      </x:c>
      <x:c r="E27" s="22" t="str">
        <x:v>BAIXO</x:v>
      </x:c>
      <x:c r="F27" s="22" t="str">
        <x:v>Mesma especificação; decidir se marca/fabricante separa o SKU</x:v>
      </x:c>
      <x:c r="G27" s="28" t="str">
        <x:f>"P+T0001"</x:f>
        <x:v>P+T0001</x:v>
      </x:c>
      <x:c r="H27" s="22" t="str">
        <x:v>PIPERACILINA + TAZOBACTAM 4G + 500MG - CX/10 - BIOCHIMICO</x:v>
      </x:c>
      <x:c r="I27" s="22" t="str">
        <x:v>4G | 500MG</x:v>
      </x:c>
      <x:c r="J27" s="22" t="str">
        <x:v>4G</x:v>
      </x:c>
      <x:c r="K27" s="22" t="str">
        <x:v>CX/10 | CX | CONTEUDO10 | FATOR10</x:v>
      </x:c>
      <x:c r="L27" s="22" t="str">
        <x:v>BIOCHIMICO</x:v>
      </x:c>
      <x:c r="M27" s="28" t="str">
        <x:f>"GTIN: 7897406119626"</x:f>
        <x:v>GTIN: 7897406119626</x:v>
      </x:c>
      <x:c r="N27" s="28" t="str">
        <x:f>"644"</x:f>
        <x:v>644</x:v>
      </x:c>
      <x:c r="O27" s="27" t="str"/>
      <x:c r="P27" s="27" t="str"/>
    </x:row>
    <x:row r="28">
      <x:c r="A28" s="28" t="str">
        <x:f>"DUP-005"</x:f>
        <x:v>DUP-005</x:v>
      </x:c>
      <x:c r="B28" s="22" t="str">
        <x:v>PIPERACILINA TAZOBACTAM</x:v>
      </x:c>
      <x:c r="C28" s="22" t="str">
        <x:v>4G 500MG 4G CAIXA CX 10 CX CONTEUDO10 FATOR10</x:v>
      </x:c>
      <x:c r="D28" s="22" t="n">
        <x:v>4</x:v>
      </x:c>
      <x:c r="E28" s="22" t="str">
        <x:v>BAIXO</x:v>
      </x:c>
      <x:c r="F28" s="22" t="str">
        <x:v>Mesma especificação; decidir se marca/fabricante separa o SKU</x:v>
      </x:c>
      <x:c r="G28" s="28" t="str">
        <x:f>"P+T0005"</x:f>
        <x:v>P+T0005</x:v>
      </x:c>
      <x:c r="H28" s="22" t="str">
        <x:v>PIPERACILINA + TAZOBACTAM 4G + 500MG - CX/10 - EUROFARMA</x:v>
      </x:c>
      <x:c r="I28" s="22" t="str">
        <x:v>4G | 500MG</x:v>
      </x:c>
      <x:c r="J28" s="22" t="str">
        <x:v>4G</x:v>
      </x:c>
      <x:c r="K28" s="22" t="str">
        <x:v>CX/10 | CX | CONTEUDO10 | FATOR10</x:v>
      </x:c>
      <x:c r="L28" s="22" t="str">
        <x:v>EUROFARMA</x:v>
      </x:c>
      <x:c r="M28" s="28" t="str">
        <x:f>"GTIN: 7899498608354"</x:f>
        <x:v>GTIN: 7899498608354</x:v>
      </x:c>
      <x:c r="N28" s="28" t="str">
        <x:f>"645"</x:f>
        <x:v>645</x:v>
      </x:c>
      <x:c r="O28" s="27" t="str"/>
      <x:c r="P28" s="27" t="str"/>
    </x:row>
    <x:row r="29">
      <x:c r="A29" s="28" t="str">
        <x:f>"DUP-005"</x:f>
        <x:v>DUP-005</x:v>
      </x:c>
      <x:c r="B29" s="22" t="str">
        <x:v>PIPERACILINA TAZOBACTAM</x:v>
      </x:c>
      <x:c r="C29" s="22" t="str">
        <x:v>4G 500MG 4G CAIXA CX 10 CX CONTEUDO10 FATOR10</x:v>
      </x:c>
      <x:c r="D29" s="22" t="n">
        <x:v>4</x:v>
      </x:c>
      <x:c r="E29" s="22" t="str">
        <x:v>BAIXO</x:v>
      </x:c>
      <x:c r="F29" s="22" t="str">
        <x:v>Mesma especificação; decidir se marca/fabricante separa o SKU</x:v>
      </x:c>
      <x:c r="G29" s="28" t="str">
        <x:f>"P+T0004"</x:f>
        <x:v>P+T0004</x:v>
      </x:c>
      <x:c r="H29" s="22" t="str">
        <x:v>PIPERACILINA + TAZOBACTAM 4G + 500MG - CX/10 - UNIÃO QUÍMICA</x:v>
      </x:c>
      <x:c r="I29" s="22" t="str">
        <x:v>4G | 500MG</x:v>
      </x:c>
      <x:c r="J29" s="22" t="str">
        <x:v>4G</x:v>
      </x:c>
      <x:c r="K29" s="22" t="str">
        <x:v>CX/10 | CX | CONTEUDO10 | FATOR10</x:v>
      </x:c>
      <x:c r="L29" s="22" t="str">
        <x:v>UNIÃO QUÍMICA</x:v>
      </x:c>
      <x:c r="M29" s="28" t="str">
        <x:f>"GTIN: 7899498608354"</x:f>
        <x:v>GTIN: 7899498608354</x:v>
      </x:c>
      <x:c r="N29" s="28" t="str">
        <x:f>"648"</x:f>
        <x:v>648</x:v>
      </x:c>
      <x:c r="O29" s="27" t="str"/>
      <x:c r="P29" s="27" t="str"/>
    </x:row>
    <x:row r="30">
      <x:c r="A30" s="28" t="str">
        <x:f>"DUP-005"</x:f>
        <x:v>DUP-005</x:v>
      </x:c>
      <x:c r="B30" s="22" t="str">
        <x:v>PIPERACILINA TAZOBACTAM</x:v>
      </x:c>
      <x:c r="C30" s="22" t="str">
        <x:v>4G 500MG 4G CAIXA CX 10 CX CONTEUDO10 FATOR10</x:v>
      </x:c>
      <x:c r="D30" s="22" t="n">
        <x:v>4</x:v>
      </x:c>
      <x:c r="E30" s="22" t="str">
        <x:v>BAIXO</x:v>
      </x:c>
      <x:c r="F30" s="22" t="str">
        <x:v>Mesma especificação; decidir se marca/fabricante separa o SKU</x:v>
      </x:c>
      <x:c r="G30" s="28" t="str">
        <x:f>"P+T0031"</x:f>
        <x:v>P+T0031</x:v>
      </x:c>
      <x:c r="H30" s="22" t="str">
        <x:v>PIPERACILINA + TAZOBACTAM 4G + 500MG - CX/10 - VIATRIS</x:v>
      </x:c>
      <x:c r="I30" s="22" t="str">
        <x:v>4G | 500MG</x:v>
      </x:c>
      <x:c r="J30" s="22" t="str">
        <x:v>4G</x:v>
      </x:c>
      <x:c r="K30" s="22" t="str">
        <x:v>CX/10 | CX | CONTEUDO10 | FATOR10</x:v>
      </x:c>
      <x:c r="L30" s="22" t="str">
        <x:v>VIATRIS</x:v>
      </x:c>
      <x:c r="M30" s="28" t="str">
        <x:f>"GTIN: 7899498608354"</x:f>
        <x:v>GTIN: 7899498608354</x:v>
      </x:c>
      <x:c r="N30" s="28" t="str">
        <x:f>"649 | 650 | 651 | 652"</x:f>
        <x:v>649 | 650 | 651 | 652</x:v>
      </x:c>
      <x:c r="O30" s="27" t="str"/>
      <x:c r="P30" s="27" t="str"/>
    </x:row>
    <x:row r="31">
      <x:c r="A31" s="28" t="str">
        <x:f>"DUP-006"</x:f>
        <x:v>DUP-006</x:v>
      </x:c>
      <x:c r="B31" s="22" t="str">
        <x:v>TENOXICAM</x:v>
      </x:c>
      <x:c r="C31" s="22" t="str">
        <x:v>20MG 2ML 20MG 2ML CAIXA CX 50 CX CONTEUDO50 FATOR50</x:v>
      </x:c>
      <x:c r="D31" s="22" t="n">
        <x:v>4</x:v>
      </x:c>
      <x:c r="E31" s="22" t="str">
        <x:v>BAIXO</x:v>
      </x:c>
      <x:c r="F31" s="22" t="str">
        <x:v>Mesma especificação; decidir se marca/fabricante separa o SKU</x:v>
      </x:c>
      <x:c r="G31" s="28" t="str">
        <x:f>"T2-0010"</x:f>
        <x:v>T2-0010</x:v>
      </x:c>
      <x:c r="H31" s="22" t="str">
        <x:v>TENOXICAM 20MG/2ML - CX/50 - CRISTALIA</x:v>
      </x:c>
      <x:c r="I31" s="22" t="str">
        <x:v>20MG/2ML | 20MG | 2ML</x:v>
      </x:c>
      <x:c r="J31" s="22" t="str"/>
      <x:c r="K31" s="22" t="str">
        <x:v>CX/50 | CX | CONTEUDO50 | FATOR50</x:v>
      </x:c>
      <x:c r="L31" s="22" t="str">
        <x:v>CRISTALIA</x:v>
      </x:c>
      <x:c r="M31" s="28" t="str">
        <x:f>"GTIN: 7896676416206"</x:f>
        <x:v>GTIN: 7896676416206</x:v>
      </x:c>
      <x:c r="N31" s="28" t="str">
        <x:f>"794"</x:f>
        <x:v>794</x:v>
      </x:c>
      <x:c r="O31" s="27" t="str"/>
      <x:c r="P31" s="27" t="str"/>
    </x:row>
    <x:row r="32">
      <x:c r="A32" s="28" t="str">
        <x:f>"DUP-006"</x:f>
        <x:v>DUP-006</x:v>
      </x:c>
      <x:c r="B32" s="22" t="str">
        <x:v>TENOXICAM</x:v>
      </x:c>
      <x:c r="C32" s="22" t="str">
        <x:v>20MG 2ML 20MG 2ML CAIXA CX 50 CX CONTEUDO50 FATOR50</x:v>
      </x:c>
      <x:c r="D32" s="22" t="n">
        <x:v>4</x:v>
      </x:c>
      <x:c r="E32" s="22" t="str">
        <x:v>BAIXO</x:v>
      </x:c>
      <x:c r="F32" s="22" t="str">
        <x:v>Mesma especificação; decidir se marca/fabricante separa o SKU</x:v>
      </x:c>
      <x:c r="G32" s="28" t="str">
        <x:f>"T2-0011"</x:f>
        <x:v>T2-0011</x:v>
      </x:c>
      <x:c r="H32" s="22" t="str">
        <x:v>TENOXICAM 20MG/2ML - CX/50 - UNIAO QUIMICA</x:v>
      </x:c>
      <x:c r="I32" s="22" t="str">
        <x:v>20MG/2ML | 20MG | 2ML</x:v>
      </x:c>
      <x:c r="J32" s="22" t="str"/>
      <x:c r="K32" s="22" t="str">
        <x:v>CX/50 | CX | CONTEUDO50 | FATOR50</x:v>
      </x:c>
      <x:c r="L32" s="22" t="str">
        <x:v>UNIAO QUIMICA</x:v>
      </x:c>
      <x:c r="M32" s="28" t="str">
        <x:f>"GTIN: 7896006219149"</x:f>
        <x:v>GTIN: 7896006219149</x:v>
      </x:c>
      <x:c r="N32" s="28" t="str">
        <x:f>"795"</x:f>
        <x:v>795</x:v>
      </x:c>
      <x:c r="O32" s="27" t="str"/>
      <x:c r="P32" s="27" t="str"/>
    </x:row>
    <x:row r="33">
      <x:c r="A33" s="28" t="str">
        <x:f>"DUP-006"</x:f>
        <x:v>DUP-006</x:v>
      </x:c>
      <x:c r="B33" s="22" t="str">
        <x:v>TENOXICAM</x:v>
      </x:c>
      <x:c r="C33" s="22" t="str">
        <x:v>20MG 2ML 20MG 2ML CAIXA CX 50 CX CONTEUDO50 FATOR50</x:v>
      </x:c>
      <x:c r="D33" s="22" t="n">
        <x:v>4</x:v>
      </x:c>
      <x:c r="E33" s="22" t="str">
        <x:v>BAIXO</x:v>
      </x:c>
      <x:c r="F33" s="22" t="str">
        <x:v>Mesma especificação; decidir se marca/fabricante separa o SKU</x:v>
      </x:c>
      <x:c r="G33" s="28" t="str">
        <x:f>"T2C0002"</x:f>
        <x:v>T2C0002</x:v>
      </x:c>
      <x:c r="H33" s="22" t="str">
        <x:v>TENOXICAM 20MG/2ML CX/50 - EUROFARMA</x:v>
      </x:c>
      <x:c r="I33" s="22" t="str">
        <x:v>20MG/2ML | 20MG | 2ML</x:v>
      </x:c>
      <x:c r="J33" s="22" t="str"/>
      <x:c r="K33" s="22" t="str">
        <x:v>CX/50 | CX | CONTEUDO50 | FATOR50</x:v>
      </x:c>
      <x:c r="L33" s="22" t="str">
        <x:v>EUROFARMA</x:v>
      </x:c>
      <x:c r="M33" s="28" t="str">
        <x:f>"GTIN: 7891317009878"</x:f>
        <x:v>GTIN: 7891317009878</x:v>
      </x:c>
      <x:c r="N33" s="28" t="str">
        <x:f>"789 | 790 | 791 | 792 | 796"</x:f>
        <x:v>789 | 790 | 791 | 792 | 796</x:v>
      </x:c>
      <x:c r="O33" s="27" t="str"/>
      <x:c r="P33" s="27" t="str"/>
    </x:row>
    <x:row r="34">
      <x:c r="A34" s="28" t="str">
        <x:f>"DUP-006"</x:f>
        <x:v>DUP-006</x:v>
      </x:c>
      <x:c r="B34" s="22" t="str">
        <x:v>TENOXICAM</x:v>
      </x:c>
      <x:c r="C34" s="22" t="str">
        <x:v>20MG 2ML 20MG 2ML CAIXA CX 50 CX CONTEUDO50 FATOR50</x:v>
      </x:c>
      <x:c r="D34" s="22" t="n">
        <x:v>4</x:v>
      </x:c>
      <x:c r="E34" s="22" t="str">
        <x:v>BAIXO</x:v>
      </x:c>
      <x:c r="F34" s="22" t="str">
        <x:v>Mesma especificação; decidir se marca/fabricante separa o SKU</x:v>
      </x:c>
      <x:c r="G34" s="28" t="str">
        <x:f>"T2C0030"</x:f>
        <x:v>T2C0030</x:v>
      </x:c>
      <x:c r="H34" s="22" t="str">
        <x:v>TENOXICAM 20MG/2ML CX/50 CRISTALIA</x:v>
      </x:c>
      <x:c r="I34" s="22" t="str">
        <x:v>20MG/2ML | 20MG | 2ML</x:v>
      </x:c>
      <x:c r="J34" s="22" t="str"/>
      <x:c r="K34" s="22" t="str">
        <x:v>CX/50 | CX | CONTEUDO50 | FATOR50</x:v>
      </x:c>
      <x:c r="L34" s="22" t="str">
        <x:v>CRISTALIA</x:v>
      </x:c>
      <x:c r="M34" s="28" t="str">
        <x:f>"GTIN: 7891317009878"</x:f>
        <x:v>GTIN: 7891317009878</x:v>
      </x:c>
      <x:c r="N34" s="28" t="str">
        <x:f>"793"</x:f>
        <x:v>793</x:v>
      </x:c>
      <x:c r="O34" s="27" t="str"/>
      <x:c r="P34" s="27" t="str"/>
    </x:row>
    <x:row r="35">
      <x:c r="A35" s="28" t="str">
        <x:f>"DUP-007"</x:f>
        <x:v>DUP-007</x:v>
      </x:c>
      <x:c r="B35" s="22" t="str">
        <x:v>CATETER DUPLO LUMEN 7FRX20CM</x:v>
      </x:c>
      <x:c r="C35" s="22" t="str">
        <x:v>UNIDADE UND</x:v>
      </x:c>
      <x:c r="D35" s="22" t="n">
        <x:v>3</x:v>
      </x:c>
      <x:c r="E35" s="22" t="str">
        <x:v>BAIXO</x:v>
      </x:c>
      <x:c r="F35" s="22" t="str">
        <x:v>Mesma especificação; decidir se marca/fabricante separa o SKU</x:v>
      </x:c>
      <x:c r="G35" s="28" t="str">
        <x:f>"CDL0011"</x:f>
        <x:v>CDL0011</x:v>
      </x:c>
      <x:c r="H35" s="22" t="str">
        <x:v>CATETER DUPLO LUMEN 7FRX20CM - ALIVE HEART</x:v>
      </x:c>
      <x:c r="I35" s="22" t="str"/>
      <x:c r="J35" s="22" t="str"/>
      <x:c r="K35" s="22" t="str">
        <x:v>UND</x:v>
      </x:c>
      <x:c r="L35" s="22" t="str">
        <x:v>ALIVE HEART</x:v>
      </x:c>
      <x:c r="M35" s="28" t="str"/>
      <x:c r="N35" s="28" t="str">
        <x:f>"97"</x:f>
        <x:v>97</x:v>
      </x:c>
      <x:c r="O35" s="27" t="str"/>
      <x:c r="P35" s="27" t="str"/>
    </x:row>
    <x:row r="36">
      <x:c r="A36" s="28" t="str">
        <x:f>"DUP-007"</x:f>
        <x:v>DUP-007</x:v>
      </x:c>
      <x:c r="B36" s="22" t="str">
        <x:v>CATETER DUPLO LUMEN 7FRX20CM</x:v>
      </x:c>
      <x:c r="C36" s="22" t="str">
        <x:v>UNIDADE UND</x:v>
      </x:c>
      <x:c r="D36" s="22" t="n">
        <x:v>3</x:v>
      </x:c>
      <x:c r="E36" s="22" t="str">
        <x:v>BAIXO</x:v>
      </x:c>
      <x:c r="F36" s="22" t="str">
        <x:v>Mesma especificação; decidir se marca/fabricante separa o SKU</x:v>
      </x:c>
      <x:c r="G36" s="28" t="str">
        <x:f>"CTL0004"</x:f>
        <x:v>CTL0004</x:v>
      </x:c>
      <x:c r="H36" s="22" t="str">
        <x:v>CATETER DUPLO LUMEN 7FRX20CM - BIOMEDICAL</x:v>
      </x:c>
      <x:c r="I36" s="22" t="str"/>
      <x:c r="J36" s="22" t="str"/>
      <x:c r="K36" s="22" t="str">
        <x:v>UND</x:v>
      </x:c>
      <x:c r="L36" s="22" t="str">
        <x:v>BIOMEDICAL</x:v>
      </x:c>
      <x:c r="M36" s="28" t="str"/>
      <x:c r="N36" s="28" t="str">
        <x:f>"98"</x:f>
        <x:v>98</x:v>
      </x:c>
      <x:c r="O36" s="27" t="str"/>
      <x:c r="P36" s="27" t="str"/>
    </x:row>
    <x:row r="37">
      <x:c r="A37" s="28" t="str">
        <x:f>"DUP-007"</x:f>
        <x:v>DUP-007</x:v>
      </x:c>
      <x:c r="B37" s="22" t="str">
        <x:v>CATETER DUPLO LUMEN 7FRX20CM</x:v>
      </x:c>
      <x:c r="C37" s="22" t="str">
        <x:v>UNIDADE UND</x:v>
      </x:c>
      <x:c r="D37" s="22" t="n">
        <x:v>3</x:v>
      </x:c>
      <x:c r="E37" s="22" t="str">
        <x:v>BAIXO</x:v>
      </x:c>
      <x:c r="F37" s="22" t="str">
        <x:v>Mesma especificação; decidir se marca/fabricante separa o SKU</x:v>
      </x:c>
      <x:c r="G37" s="28" t="str">
        <x:f>"CDL0020"</x:f>
        <x:v>CDL0020</x:v>
      </x:c>
      <x:c r="H37" s="22" t="str">
        <x:v>CATETER DUPLO LUMEN 7FRX20CM - SAFECATH</x:v>
      </x:c>
      <x:c r="I37" s="22" t="str"/>
      <x:c r="J37" s="22" t="str"/>
      <x:c r="K37" s="22" t="str">
        <x:v>UND</x:v>
      </x:c>
      <x:c r="L37" s="22" t="str">
        <x:v>SAFECATH</x:v>
      </x:c>
      <x:c r="M37" s="28" t="str"/>
      <x:c r="N37" s="28" t="str">
        <x:f>"104"</x:f>
        <x:v>104</x:v>
      </x:c>
      <x:c r="O37" s="27" t="str"/>
      <x:c r="P37" s="27" t="str"/>
    </x:row>
    <x:row r="38">
      <x:c r="A38" s="28" t="str">
        <x:f>"DUP-008"</x:f>
        <x:v>DUP-008</x:v>
      </x:c>
      <x:c r="B38" s="22" t="str">
        <x:v>CLORIDRATO LIDOCAINA GELEIA BISNAGA</x:v>
      </x:c>
      <x:c r="C38" s="22" t="str">
        <x:v>20MG 30G 30G UNIDADE UND</x:v>
      </x:c>
      <x:c r="D38" s="22" t="n">
        <x:v>3</x:v>
      </x:c>
      <x:c r="E38" s="22" t="str">
        <x:v>BAIXO</x:v>
      </x:c>
      <x:c r="F38" s="22" t="str">
        <x:v>Mesma especificação; decidir se marca/fabricante separa o SKU</x:v>
      </x:c>
      <x:c r="G38" s="28" t="str">
        <x:f>"CLG0021"</x:f>
        <x:v>CLG0021</x:v>
      </x:c>
      <x:c r="H38" s="22" t="str">
        <x:v>CLORIDRATO DE LIDOCAINA GELEIA 2% - 20MG - 1 BISNAGA 30G - CRISTALIA</x:v>
      </x:c>
      <x:c r="I38" s="22" t="str">
        <x:v>20MG | 30G</x:v>
      </x:c>
      <x:c r="J38" s="22" t="str">
        <x:v>30G</x:v>
      </x:c>
      <x:c r="K38" s="22" t="str">
        <x:v>UND</x:v>
      </x:c>
      <x:c r="L38" s="22" t="str">
        <x:v>CRISTALIA</x:v>
      </x:c>
      <x:c r="M38" s="28" t="str">
        <x:f>"GTIN: 7898123905653"</x:f>
        <x:v>GTIN: 7898123905653</x:v>
      </x:c>
      <x:c r="N38" s="28" t="str">
        <x:f>"288"</x:f>
        <x:v>288</x:v>
      </x:c>
      <x:c r="O38" s="27" t="str"/>
      <x:c r="P38" s="27" t="str"/>
    </x:row>
    <x:row r="39">
      <x:c r="A39" s="28" t="str">
        <x:f>"DUP-008"</x:f>
        <x:v>DUP-008</x:v>
      </x:c>
      <x:c r="B39" s="22" t="str">
        <x:v>CLORIDRATO LIDOCAINA GELEIA BISNAGA</x:v>
      </x:c>
      <x:c r="C39" s="22" t="str">
        <x:v>20MG 30G 30G UNIDADE UND</x:v>
      </x:c>
      <x:c r="D39" s="22" t="n">
        <x:v>3</x:v>
      </x:c>
      <x:c r="E39" s="22" t="str">
        <x:v>BAIXO</x:v>
      </x:c>
      <x:c r="F39" s="22" t="str">
        <x:v>Mesma especificação; decidir se marca/fabricante separa o SKU</x:v>
      </x:c>
      <x:c r="G39" s="28" t="str">
        <x:f>"CLG0011"</x:f>
        <x:v>CLG0011</x:v>
      </x:c>
      <x:c r="H39" s="22" t="str">
        <x:v>CLORIDRATO DE LIDOCAINA GELEIA 2% - 20MG - 1 BISNAGA 30G - PHARLAB</x:v>
      </x:c>
      <x:c r="I39" s="22" t="str">
        <x:v>20MG | 30G</x:v>
      </x:c>
      <x:c r="J39" s="22" t="str">
        <x:v>30G</x:v>
      </x:c>
      <x:c r="K39" s="22" t="str">
        <x:v>UND</x:v>
      </x:c>
      <x:c r="L39" s="22" t="str">
        <x:v>PHARLAB</x:v>
      </x:c>
      <x:c r="M39" s="28" t="str">
        <x:f>"GTIN: 7898123905653"</x:f>
        <x:v>GTIN: 7898123905653</x:v>
      </x:c>
      <x:c r="N39" s="28" t="str">
        <x:f>"289 | 290"</x:f>
        <x:v>289 | 290</x:v>
      </x:c>
      <x:c r="O39" s="27" t="str"/>
      <x:c r="P39" s="27" t="str"/>
    </x:row>
    <x:row r="40">
      <x:c r="A40" s="28" t="str">
        <x:f>"DUP-008"</x:f>
        <x:v>DUP-008</x:v>
      </x:c>
      <x:c r="B40" s="22" t="str">
        <x:v>CLORIDRATO LIDOCAINA GELEIA BISNAGA</x:v>
      </x:c>
      <x:c r="C40" s="22" t="str">
        <x:v>20MG 30G 30G UNIDADE UND</x:v>
      </x:c>
      <x:c r="D40" s="22" t="n">
        <x:v>3</x:v>
      </x:c>
      <x:c r="E40" s="22" t="str">
        <x:v>BAIXO</x:v>
      </x:c>
      <x:c r="F40" s="22" t="str">
        <x:v>Mesma especificação; decidir se marca/fabricante separa o SKU</x:v>
      </x:c>
      <x:c r="G40" s="28" t="str">
        <x:f>"CLG0005"</x:f>
        <x:v>CLG0005</x:v>
      </x:c>
      <x:c r="H40" s="22" t="str">
        <x:v>CLORIDRATO DE LIDOCAINA GELEIA 2%/20MG - 1 BISNAGA 30G - NEOQUIMICA</x:v>
      </x:c>
      <x:c r="I40" s="22" t="str">
        <x:v>20MG | 30G</x:v>
      </x:c>
      <x:c r="J40" s="22" t="str">
        <x:v>30G</x:v>
      </x:c>
      <x:c r="K40" s="22" t="str">
        <x:v>UND</x:v>
      </x:c>
      <x:c r="L40" s="22" t="str">
        <x:v>NEOQUIMICA</x:v>
      </x:c>
      <x:c r="M40" s="28" t="str">
        <x:f>"GTIN: 7896714230160"</x:f>
        <x:v>GTIN: 7896714230160</x:v>
      </x:c>
      <x:c r="N40" s="28" t="str">
        <x:f>"291 | 292 | 293 | 294 | 295 | 296 | 297 | 298 | 299 | 300"</x:f>
        <x:v>291 | 292 | 293 | 294 | 295 | 296 | 297 | 298 | 299 | 300</x:v>
      </x:c>
      <x:c r="O40" s="27" t="str"/>
      <x:c r="P40" s="27" t="str"/>
    </x:row>
    <x:row r="41">
      <x:c r="A41" s="28" t="str">
        <x:f>"DUP-009"</x:f>
        <x:v>DUP-009</x:v>
      </x:c>
      <x:c r="B41" s="22" t="str">
        <x:v>CLORIDRATO LIDOCAINA SV</x:v>
      </x:c>
      <x:c r="C41" s="22" t="str">
        <x:v>20ML CAIXA CX 25 CX25</x:v>
      </x:c>
      <x:c r="D41" s="22" t="n">
        <x:v>3</x:v>
      </x:c>
      <x:c r="E41" s="22" t="str">
        <x:v>BAIXO</x:v>
      </x:c>
      <x:c r="F41" s="22" t="str">
        <x:v>Mesma especificação; decidir se marca/fabricante separa o SKU</x:v>
      </x:c>
      <x:c r="G41" s="28" t="str">
        <x:f>"CL20013"</x:f>
        <x:v>CL20013</x:v>
      </x:c>
      <x:c r="H41" s="22" t="str">
        <x:v>CLORIDRATO DE LIDOCAINA 2% 20ML SV CX/25 - CRISTALIA</x:v>
      </x:c>
      <x:c r="I41" s="22" t="str">
        <x:v>20ML</x:v>
      </x:c>
      <x:c r="J41" s="22" t="str"/>
      <x:c r="K41" s="22" t="str">
        <x:v>CX/25 | CX25</x:v>
      </x:c>
      <x:c r="L41" s="22" t="str">
        <x:v>CRISTALIA</x:v>
      </x:c>
      <x:c r="M41" s="28" t="str">
        <x:f>"GTIN: 7898470686212"</x:f>
        <x:v>GTIN: 7898470686212</x:v>
      </x:c>
      <x:c r="N41" s="28" t="str">
        <x:f>"275 | 276 | 277 | 278 | 279 | 280 | 281 | 282 | 283 | 284"</x:f>
        <x:v>275 | 276 | 277 | 278 | 279 | 280 | 281 | 282 | 283 | 284</x:v>
      </x:c>
      <x:c r="O41" s="27" t="str"/>
      <x:c r="P41" s="27" t="str"/>
    </x:row>
    <x:row r="42">
      <x:c r="A42" s="28" t="str">
        <x:f>"DUP-009"</x:f>
        <x:v>DUP-009</x:v>
      </x:c>
      <x:c r="B42" s="22" t="str">
        <x:v>CLORIDRATO LIDOCAINA SV</x:v>
      </x:c>
      <x:c r="C42" s="22" t="str">
        <x:v>20ML CAIXA CX 25 CX25</x:v>
      </x:c>
      <x:c r="D42" s="22" t="n">
        <x:v>3</x:v>
      </x:c>
      <x:c r="E42" s="22" t="str">
        <x:v>BAIXO</x:v>
      </x:c>
      <x:c r="F42" s="22" t="str">
        <x:v>Mesma especificação; decidir se marca/fabricante separa o SKU</x:v>
      </x:c>
      <x:c r="G42" s="28" t="str">
        <x:f>"CL20004"</x:f>
        <x:v>CL20004</x:v>
      </x:c>
      <x:c r="H42" s="22" t="str">
        <x:v>CLORIDRATO DE LIDOCAINA 2% 20ML SV CX/25 - HYPOFARMA</x:v>
      </x:c>
      <x:c r="I42" s="22" t="str">
        <x:v>20ML</x:v>
      </x:c>
      <x:c r="J42" s="22" t="str"/>
      <x:c r="K42" s="22" t="str">
        <x:v>CX/25 | CX25</x:v>
      </x:c>
      <x:c r="L42" s="22" t="str">
        <x:v>HYPOFARMA</x:v>
      </x:c>
      <x:c r="M42" s="28" t="str">
        <x:f>"GTIN: 7898470686212"</x:f>
        <x:v>GTIN: 7898470686212</x:v>
      </x:c>
      <x:c r="N42" s="28" t="str">
        <x:f>"285 | 286 | 287"</x:f>
        <x:v>285 | 286 | 287</x:v>
      </x:c>
      <x:c r="O42" s="27" t="str"/>
      <x:c r="P42" s="27" t="str"/>
    </x:row>
    <x:row r="43">
      <x:c r="A43" s="28" t="str">
        <x:f>"DUP-009"</x:f>
        <x:v>DUP-009</x:v>
      </x:c>
      <x:c r="B43" s="22" t="str">
        <x:v>CLORIDRATO LIDOCAINA SV</x:v>
      </x:c>
      <x:c r="C43" s="22" t="str">
        <x:v>20ML CAIXA CX 25 CX25</x:v>
      </x:c>
      <x:c r="D43" s="22" t="n">
        <x:v>3</x:v>
      </x:c>
      <x:c r="E43" s="22" t="str">
        <x:v>BAIXO</x:v>
      </x:c>
      <x:c r="F43" s="22" t="str">
        <x:v>Mesma especificação; decidir se marca/fabricante separa o SKU</x:v>
      </x:c>
      <x:c r="G43" s="28" t="str">
        <x:f>"CL20001"</x:f>
        <x:v>CL20001</x:v>
      </x:c>
      <x:c r="H43" s="22" t="str">
        <x:v>CLORIDRATO LIDOCAINA 2% 20ML SV CX/25 - HYPOFARMA</x:v>
      </x:c>
      <x:c r="I43" s="22" t="str">
        <x:v>20ML</x:v>
      </x:c>
      <x:c r="J43" s="22" t="str"/>
      <x:c r="K43" s="22" t="str">
        <x:v>CX/25 | CX25</x:v>
      </x:c>
      <x:c r="L43" s="22" t="str">
        <x:v>HYPOFARMA</x:v>
      </x:c>
      <x:c r="M43" s="28" t="str">
        <x:f>"GTIN: 7898470686212"</x:f>
        <x:v>GTIN: 7898470686212</x:v>
      </x:c>
      <x:c r="N43" s="28" t="str">
        <x:f>"326 | 327"</x:f>
        <x:v>326 | 327</x:v>
      </x:c>
      <x:c r="O43" s="27" t="str"/>
      <x:c r="P43" s="27" t="str"/>
    </x:row>
    <x:row r="44">
      <x:c r="A44" s="28" t="str">
        <x:f>"DUP-010"</x:f>
        <x:v>DUP-010</x:v>
      </x:c>
      <x:c r="B44" s="22" t="str">
        <x:v>LUVA NITRILICA PROCEDIMENTO G PO NAO ESTERIL</x:v>
      </x:c>
      <x:c r="C44" s="22" t="str">
        <x:v>CAIXA CX 100 CX CONTEUDO100 FATOR100</x:v>
      </x:c>
      <x:c r="D44" s="22" t="n">
        <x:v>3</x:v>
      </x:c>
      <x:c r="E44" s="22" t="str">
        <x:v>BAIXO</x:v>
      </x:c>
      <x:c r="F44" s="22" t="str">
        <x:v>Mesma especificação; decidir se marca/fabricante separa o SKU</x:v>
      </x:c>
      <x:c r="G44" s="28" t="str">
        <x:f>"LNP0004"</x:f>
        <x:v>LNP0004</x:v>
      </x:c>
      <x:c r="H44" s="22" t="str">
        <x:v>LUVA NITRÍLICA P/ PROCEDIMENTO G S/PÓ NÃO ESTÉRIL - CX/100 - DESCARPACK</x:v>
      </x:c>
      <x:c r="I44" s="22" t="str"/>
      <x:c r="J44" s="22" t="str"/>
      <x:c r="K44" s="22" t="str">
        <x:v>CX/100 | CX | CONTEUDO100 | FATOR100</x:v>
      </x:c>
      <x:c r="L44" s="22" t="str">
        <x:v>DESCARPACK</x:v>
      </x:c>
      <x:c r="M44" s="28" t="str">
        <x:f>"GTIN: 7898733213001"</x:f>
        <x:v>GTIN: 7898733213001</x:v>
      </x:c>
      <x:c r="N44" s="28" t="str">
        <x:f>"572"</x:f>
        <x:v>572</x:v>
      </x:c>
      <x:c r="O44" s="27" t="str"/>
      <x:c r="P44" s="27" t="str"/>
    </x:row>
    <x:row r="45">
      <x:c r="A45" s="28" t="str">
        <x:f>"DUP-010"</x:f>
        <x:v>DUP-010</x:v>
      </x:c>
      <x:c r="B45" s="22" t="str">
        <x:v>LUVA NITRILICA PROCEDIMENTO G PO NAO ESTERIL</x:v>
      </x:c>
      <x:c r="C45" s="22" t="str">
        <x:v>CAIXA CX 100 CX CONTEUDO100 FATOR100</x:v>
      </x:c>
      <x:c r="D45" s="22" t="n">
        <x:v>3</x:v>
      </x:c>
      <x:c r="E45" s="22" t="str">
        <x:v>BAIXO</x:v>
      </x:c>
      <x:c r="F45" s="22" t="str">
        <x:v>Mesma especificação; decidir se marca/fabricante separa o SKU</x:v>
      </x:c>
      <x:c r="G45" s="28" t="str">
        <x:f>"LNP0001"</x:f>
        <x:v>LNP0001</x:v>
      </x:c>
      <x:c r="H45" s="22" t="str">
        <x:v>LUVA NITRÍLICA P/ PROCEDIMENTO G S/PÓ NÃO ESTÉRIL - CX/100 - MEDIX</x:v>
      </x:c>
      <x:c r="I45" s="22" t="str"/>
      <x:c r="J45" s="22" t="str"/>
      <x:c r="K45" s="22" t="str">
        <x:v>CX/100 | CX | CONTEUDO100 | FATOR100</x:v>
      </x:c>
      <x:c r="L45" s="22" t="str">
        <x:v>MEDIX</x:v>
      </x:c>
      <x:c r="M45" s="28" t="str">
        <x:f>"GTIN: 7898733213001"</x:f>
        <x:v>GTIN: 7898733213001</x:v>
      </x:c>
      <x:c r="N45" s="28" t="str">
        <x:f>"573"</x:f>
        <x:v>573</x:v>
      </x:c>
      <x:c r="O45" s="27" t="str"/>
      <x:c r="P45" s="27" t="str"/>
    </x:row>
    <x:row r="46">
      <x:c r="A46" s="28" t="str">
        <x:f>"DUP-010"</x:f>
        <x:v>DUP-010</x:v>
      </x:c>
      <x:c r="B46" s="22" t="str">
        <x:v>LUVA NITRILICA PROCEDIMENTO G PO NAO ESTERIL</x:v>
      </x:c>
      <x:c r="C46" s="22" t="str">
        <x:v>CAIXA CX 100 CX CONTEUDO100 FATOR100</x:v>
      </x:c>
      <x:c r="D46" s="22" t="n">
        <x:v>3</x:v>
      </x:c>
      <x:c r="E46" s="22" t="str">
        <x:v>BAIXO</x:v>
      </x:c>
      <x:c r="F46" s="22" t="str">
        <x:v>Mesma especificação; decidir se marca/fabricante separa o SKU</x:v>
      </x:c>
      <x:c r="G46" s="28" t="str">
        <x:f>"LNP0005"</x:f>
        <x:v>LNP0005</x:v>
      </x:c>
      <x:c r="H46" s="22" t="str">
        <x:v>LUVA NITRÍLICA P/ PROCEDIMENTO G S/PÓ NÃO ESTÉRIL - CX/100 - ZELARA</x:v>
      </x:c>
      <x:c r="I46" s="22" t="str"/>
      <x:c r="J46" s="22" t="str"/>
      <x:c r="K46" s="22" t="str">
        <x:v>CX/100 | CX | CONTEUDO100 | FATOR100</x:v>
      </x:c>
      <x:c r="L46" s="22" t="str">
        <x:v>ZELARA</x:v>
      </x:c>
      <x:c r="M46" s="28" t="str">
        <x:f>"GTIN: 7898733213001"</x:f>
        <x:v>GTIN: 7898733213001</x:v>
      </x:c>
      <x:c r="N46" s="28" t="str">
        <x:f>"574"</x:f>
        <x:v>574</x:v>
      </x:c>
      <x:c r="O46" s="27" t="str"/>
      <x:c r="P46" s="27" t="str"/>
    </x:row>
    <x:row r="47">
      <x:c r="A47" s="28" t="str">
        <x:f>"DUP-011"</x:f>
        <x:v>DUP-011</x:v>
      </x:c>
      <x:c r="B47" s="22" t="str">
        <x:v>ROPIVACAINA</x:v>
      </x:c>
      <x:c r="C47" s="22" t="str">
        <x:v>7 5MG 20ML 7 5MG 20ML CAIXA CX 25 CX CONTEUDO25 FATOR25</x:v>
      </x:c>
      <x:c r="D47" s="22" t="n">
        <x:v>3</x:v>
      </x:c>
      <x:c r="E47" s="22" t="str">
        <x:v>ALTO</x:v>
      </x:c>
      <x:c r="F47" s="22" t="str">
        <x:v>Mesma especificação; decidir se marca/fabricante separa o SKU</x:v>
      </x:c>
      <x:c r="G47" s="28" t="str">
        <x:f>"R7-0003"</x:f>
        <x:v>R7-0003</x:v>
      </x:c>
      <x:c r="H47" s="22" t="str">
        <x:v>ROPIVACAINA 7,5MG/20ML - CX/25 - HYPOFARMA</x:v>
      </x:c>
      <x:c r="I47" s="22" t="str">
        <x:v>7,5MG/20ML | 7,5MG | 20ML</x:v>
      </x:c>
      <x:c r="J47" s="22" t="str"/>
      <x:c r="K47" s="22" t="str">
        <x:v>CX/25 | CX | CONTEUDO25 | FATOR25</x:v>
      </x:c>
      <x:c r="L47" s="22" t="str">
        <x:v>HYPOFARMA</x:v>
      </x:c>
      <x:c r="M47" s="28" t="str">
        <x:f>"GTIN: 7898122913833"</x:f>
        <x:v>GTIN: 7898122913833</x:v>
      </x:c>
      <x:c r="N47" s="28" t="str">
        <x:f>"665"</x:f>
        <x:v>665</x:v>
      </x:c>
      <x:c r="O47" s="27" t="str"/>
      <x:c r="P47" s="27" t="str"/>
    </x:row>
    <x:row r="48">
      <x:c r="A48" s="28" t="str">
        <x:f>"DUP-011"</x:f>
        <x:v>DUP-011</x:v>
      </x:c>
      <x:c r="B48" s="22" t="str">
        <x:v>ROPIVACAINA</x:v>
      </x:c>
      <x:c r="C48" s="22" t="str">
        <x:v>7 5MG 20ML 7 5MG 20ML CAIXA CX 25 CX CONTEUDO25 FATOR25</x:v>
      </x:c>
      <x:c r="D48" s="22" t="n">
        <x:v>3</x:v>
      </x:c>
      <x:c r="E48" s="22" t="str">
        <x:v>ALTO</x:v>
      </x:c>
      <x:c r="F48" s="22" t="str">
        <x:v>Mesma especificação; decidir se marca/fabricante separa o SKU</x:v>
      </x:c>
      <x:c r="G48" s="28" t="str">
        <x:f>"R7C0005"</x:f>
        <x:v>R7C0005</x:v>
      </x:c>
      <x:c r="H48" s="22" t="str">
        <x:v>ROPIVACAINA 7,5MG/20ML - CX/25 - HYPOLAB</x:v>
      </x:c>
      <x:c r="I48" s="22" t="str">
        <x:v>7,5MG/20ML | 7,5MG | 20ML</x:v>
      </x:c>
      <x:c r="J48" s="22" t="str"/>
      <x:c r="K48" s="22" t="str">
        <x:v>CX/25 | CX | CONTEUDO25 | FATOR25</x:v>
      </x:c>
      <x:c r="L48" s="22" t="str">
        <x:v>HYPOLAB</x:v>
      </x:c>
      <x:c r="M48" s="28" t="str">
        <x:f>"GTIN: 7898122913833"</x:f>
        <x:v>GTIN: 7898122913833</x:v>
      </x:c>
      <x:c r="N48" s="28" t="str">
        <x:f>"666 | 667"</x:f>
        <x:v>666 | 667</x:v>
      </x:c>
      <x:c r="O48" s="27" t="str"/>
      <x:c r="P48" s="27" t="str"/>
    </x:row>
    <x:row r="49">
      <x:c r="A49" s="28" t="str">
        <x:f>"DUP-011"</x:f>
        <x:v>DUP-011</x:v>
      </x:c>
      <x:c r="B49" s="22" t="str">
        <x:v>ROPIVACAINA</x:v>
      </x:c>
      <x:c r="C49" s="22" t="str">
        <x:v>7 5MG 20ML 7 5MG 20ML CAIXA CX 25 CX CONTEUDO25 FATOR25</x:v>
      </x:c>
      <x:c r="D49" s="22" t="n">
        <x:v>3</x:v>
      </x:c>
      <x:c r="E49" s="22" t="str">
        <x:v>ALTO</x:v>
      </x:c>
      <x:c r="F49" s="22" t="str">
        <x:v>Mesma especificação; decidir se marca/fabricante separa o SKU</x:v>
      </x:c>
      <x:c r="G49" s="28" t="str">
        <x:f>"R7C0008"</x:f>
        <x:v>R7C0008</x:v>
      </x:c>
      <x:c r="H49" s="22" t="str">
        <x:v>ROPIVACAINA 7,5MG/20ML CX/25 - TEUTO</x:v>
      </x:c>
      <x:c r="I49" s="22" t="str">
        <x:v>7,5MG/20ML | 7,5MG | 20ML</x:v>
      </x:c>
      <x:c r="J49" s="22" t="str"/>
      <x:c r="K49" s="22" t="str">
        <x:v>CX/25 | CX | CONTEUDO25 | FATOR25</x:v>
      </x:c>
      <x:c r="L49" s="22" t="str">
        <x:v>TEUTO</x:v>
      </x:c>
      <x:c r="M49" s="28" t="str">
        <x:f>"GTIN: 7897406119817"</x:f>
        <x:v>GTIN: 7897406119817</x:v>
      </x:c>
      <x:c r="N49" s="28" t="str">
        <x:f>"668"</x:f>
        <x:v>668</x:v>
      </x:c>
      <x:c r="O49" s="27" t="str"/>
      <x:c r="P49" s="27" t="str"/>
    </x:row>
    <x:row r="50">
      <x:c r="A50" s="28" t="str">
        <x:f>"DUP-012"</x:f>
        <x:v>DUP-012</x:v>
      </x:c>
      <x:c r="B50" s="22" t="str">
        <x:v>SERINGA AG BICO LUER LOCK</x:v>
      </x:c>
      <x:c r="C50" s="22" t="str">
        <x:v>10ML SERINGA CX 100 UND</x:v>
      </x:c>
      <x:c r="D50" s="22" t="n">
        <x:v>3</x:v>
      </x:c>
      <x:c r="E50" s="22" t="str">
        <x:v>MÉDIO</x:v>
      </x:c>
      <x:c r="F50" s="22" t="str">
        <x:v>Mesma especificação; decidir se marca/fabricante separa o SKU</x:v>
      </x:c>
      <x:c r="G50" s="28" t="str">
        <x:f>"S1S0005"</x:f>
        <x:v>S1S0005</x:v>
      </x:c>
      <x:c r="H50" s="22" t="str">
        <x:v>SERINGA 10ML S/AG BICO LUER LOCK - CX/100 - DESCARPACK</x:v>
      </x:c>
      <x:c r="I50" s="22" t="str">
        <x:v>10ML</x:v>
      </x:c>
      <x:c r="J50" s="22" t="str"/>
      <x:c r="K50" s="22" t="str">
        <x:v>CX/100 | UND</x:v>
      </x:c>
      <x:c r="L50" s="22" t="str">
        <x:v>DESCARPACK</x:v>
      </x:c>
      <x:c r="M50" s="28" t="str"/>
      <x:c r="N50" s="28" t="str">
        <x:f>"679"</x:f>
        <x:v>679</x:v>
      </x:c>
      <x:c r="O50" s="27" t="str"/>
      <x:c r="P50" s="27" t="str"/>
    </x:row>
    <x:row r="51">
      <x:c r="A51" s="28" t="str">
        <x:f>"DUP-012"</x:f>
        <x:v>DUP-012</x:v>
      </x:c>
      <x:c r="B51" s="22" t="str">
        <x:v>SERINGA AG BICO LUER LOCK</x:v>
      </x:c>
      <x:c r="C51" s="22" t="str">
        <x:v>10ML SERINGA CX 100 UND</x:v>
      </x:c>
      <x:c r="D51" s="22" t="n">
        <x:v>3</x:v>
      </x:c>
      <x:c r="E51" s="22" t="str">
        <x:v>MÉDIO</x:v>
      </x:c>
      <x:c r="F51" s="22" t="str">
        <x:v>Mesma especificação; decidir se marca/fabricante separa o SKU</x:v>
      </x:c>
      <x:c r="G51" s="28" t="str">
        <x:f>"S1S0002"</x:f>
        <x:v>S1S0002</x:v>
      </x:c>
      <x:c r="H51" s="22" t="str">
        <x:v>SERINGA 10ML S/AG BICO LUER LOCK - CX/100 - MEDIX</x:v>
      </x:c>
      <x:c r="I51" s="22" t="str">
        <x:v>10ML</x:v>
      </x:c>
      <x:c r="J51" s="22" t="str"/>
      <x:c r="K51" s="22" t="str">
        <x:v>CX/100 | UND</x:v>
      </x:c>
      <x:c r="L51" s="22" t="str">
        <x:v>MEDIX</x:v>
      </x:c>
      <x:c r="M51" s="28" t="str"/>
      <x:c r="N51" s="28" t="str">
        <x:f>"680"</x:f>
        <x:v>680</x:v>
      </x:c>
      <x:c r="O51" s="27" t="str"/>
      <x:c r="P51" s="27" t="str"/>
    </x:row>
    <x:row r="52">
      <x:c r="A52" s="28" t="str">
        <x:f>"DUP-012"</x:f>
        <x:v>DUP-012</x:v>
      </x:c>
      <x:c r="B52" s="22" t="str">
        <x:v>SERINGA AG BICO LUER LOCK</x:v>
      </x:c>
      <x:c r="C52" s="22" t="str">
        <x:v>10ML SERINGA CX 100 UND</x:v>
      </x:c>
      <x:c r="D52" s="22" t="n">
        <x:v>3</x:v>
      </x:c>
      <x:c r="E52" s="22" t="str">
        <x:v>MÉDIO</x:v>
      </x:c>
      <x:c r="F52" s="22" t="str">
        <x:v>Mesma especificação; decidir se marca/fabricante separa o SKU</x:v>
      </x:c>
      <x:c r="G52" s="28" t="str">
        <x:f>"S1S0003"</x:f>
        <x:v>S1S0003</x:v>
      </x:c>
      <x:c r="H52" s="22" t="str">
        <x:v>SERINGA 10ML S/AG BICO LUER LOCK - CX/100 - SR</x:v>
      </x:c>
      <x:c r="I52" s="22" t="str">
        <x:v>10ML</x:v>
      </x:c>
      <x:c r="J52" s="22" t="str"/>
      <x:c r="K52" s="22" t="str">
        <x:v>CX/100 | UND</x:v>
      </x:c>
      <x:c r="L52" s="22" t="str">
        <x:v>SR</x:v>
      </x:c>
      <x:c r="M52" s="28" t="str"/>
      <x:c r="N52" s="28" t="str">
        <x:f>"681"</x:f>
        <x:v>681</x:v>
      </x:c>
      <x:c r="O52" s="27" t="str"/>
      <x:c r="P52" s="27" t="str"/>
    </x:row>
    <x:row r="53">
      <x:c r="A53" s="28" t="str">
        <x:f>"DUP-013"</x:f>
        <x:v>DUP-013</x:v>
      </x:c>
      <x:c r="B53" s="22" t="str">
        <x:v>SUGAMADEX BRIDION</x:v>
      </x:c>
      <x:c r="C53" s="22" t="str">
        <x:v>100MG 2ML 100MG 2ML CAIXA CX 10 CX CONTEUDO10 FATOR10</x:v>
      </x:c>
      <x:c r="D53" s="22" t="n">
        <x:v>3</x:v>
      </x:c>
      <x:c r="E53" s="22" t="str">
        <x:v>MÉDIO</x:v>
      </x:c>
      <x:c r="F53" s="22" t="str">
        <x:v>Mesma especificação; decidir se marca/fabricante separa o SKU</x:v>
      </x:c>
      <x:c r="G53" s="28" t="str">
        <x:f>"SB10005"</x:f>
        <x:v>SB10005</x:v>
      </x:c>
      <x:c r="H53" s="22" t="str">
        <x:v>SUGAMADEX BRIDION 100MG/2ML - CX/10 - MSD</x:v>
      </x:c>
      <x:c r="I53" s="22" t="str">
        <x:v>100MG/2ML | 100MG | 2ML</x:v>
      </x:c>
      <x:c r="J53" s="22" t="str"/>
      <x:c r="K53" s="22" t="str">
        <x:v>CX/10 | CX | CONTEUDO10 | FATOR10</x:v>
      </x:c>
      <x:c r="L53" s="22" t="str">
        <x:v>MSD</x:v>
      </x:c>
      <x:c r="M53" s="28" t="str"/>
      <x:c r="N53" s="28" t="str">
        <x:f>"746 | 747"</x:f>
        <x:v>746 | 747</x:v>
      </x:c>
      <x:c r="O53" s="27" t="str"/>
      <x:c r="P53" s="27" t="str"/>
    </x:row>
    <x:row r="54">
      <x:c r="A54" s="28" t="str">
        <x:f>"DUP-013"</x:f>
        <x:v>DUP-013</x:v>
      </x:c>
      <x:c r="B54" s="22" t="str">
        <x:v>SUGAMADEX BRIDION</x:v>
      </x:c>
      <x:c r="C54" s="22" t="str">
        <x:v>100MG 2ML 100MG 2ML CAIXA CX 10 CX CONTEUDO10 FATOR10</x:v>
      </x:c>
      <x:c r="D54" s="22" t="n">
        <x:v>3</x:v>
      </x:c>
      <x:c r="E54" s="22" t="str">
        <x:v>MÉDIO</x:v>
      </x:c>
      <x:c r="F54" s="22" t="str">
        <x:v>Mesma especificação; decidir se marca/fabricante separa o SKU</x:v>
      </x:c>
      <x:c r="G54" s="28" t="str">
        <x:f>"SB10024"</x:f>
        <x:v>SB10024</x:v>
      </x:c>
      <x:c r="H54" s="22" t="str">
        <x:v>SUGAMADEX BRIDION 100MG/2ML - CX/10 - UNIAO QUIMICA</x:v>
      </x:c>
      <x:c r="I54" s="22" t="str">
        <x:v>100MG/2ML | 100MG | 2ML</x:v>
      </x:c>
      <x:c r="J54" s="22" t="str"/>
      <x:c r="K54" s="22" t="str">
        <x:v>CX/10 | CX | CONTEUDO10 | FATOR10</x:v>
      </x:c>
      <x:c r="L54" s="22" t="str">
        <x:v>UNIAO QUIMICA</x:v>
      </x:c>
      <x:c r="M54" s="28" t="str"/>
      <x:c r="N54" s="28" t="str">
        <x:f>"748"</x:f>
        <x:v>748</x:v>
      </x:c>
      <x:c r="O54" s="27" t="str"/>
      <x:c r="P54" s="27" t="str"/>
    </x:row>
    <x:row r="55">
      <x:c r="A55" s="28" t="str">
        <x:f>"DUP-013"</x:f>
        <x:v>DUP-013</x:v>
      </x:c>
      <x:c r="B55" s="22" t="str">
        <x:v>SUGAMADEX BRIDION</x:v>
      </x:c>
      <x:c r="C55" s="22" t="str">
        <x:v>100MG 2ML 100MG 2ML CAIXA CX 10 CX CONTEUDO10 FATOR10</x:v>
      </x:c>
      <x:c r="D55" s="22" t="n">
        <x:v>3</x:v>
      </x:c>
      <x:c r="E55" s="22" t="str">
        <x:v>MÉDIO</x:v>
      </x:c>
      <x:c r="F55" s="22" t="str">
        <x:v>Mesma especificação; decidir se marca/fabricante separa o SKU</x:v>
      </x:c>
      <x:c r="G55" s="28" t="str">
        <x:f>"SB10002"</x:f>
        <x:v>SB10002</x:v>
      </x:c>
      <x:c r="H55" s="22" t="str">
        <x:v>SUGAMADEX BRIDION 100MG/2ML - DR REDDY - CX/10</x:v>
      </x:c>
      <x:c r="I55" s="22" t="str">
        <x:v>100MG/2ML | 100MG | 2ML</x:v>
      </x:c>
      <x:c r="J55" s="22" t="str"/>
      <x:c r="K55" s="22" t="str">
        <x:v>CX/10 | CX | CONTEUDO10 | FATOR10</x:v>
      </x:c>
      <x:c r="L55" s="22" t="str">
        <x:v>DR REDDY</x:v>
      </x:c>
      <x:c r="M55" s="28" t="str"/>
      <x:c r="N55" s="28" t="str">
        <x:f>"749 | 750"</x:f>
        <x:v>749 | 750</x:v>
      </x:c>
      <x:c r="O55" s="27" t="str"/>
      <x:c r="P55" s="27" t="str"/>
    </x:row>
    <x:row r="56">
      <x:c r="A56" s="28" t="str">
        <x:f>"DUP-014"</x:f>
        <x:v>DUP-014</x:v>
      </x:c>
      <x:c r="B56" s="22" t="str">
        <x:v>SULFATO NEOMICINA BACITRACINA ZINCICA</x:v>
      </x:c>
      <x:c r="C56" s="22" t="str">
        <x:v>15G 15G UNIDADE UND</x:v>
      </x:c>
      <x:c r="D56" s="22" t="n">
        <x:v>3</x:v>
      </x:c>
      <x:c r="E56" s="22" t="str">
        <x:v>BAIXO</x:v>
      </x:c>
      <x:c r="F56" s="22" t="str">
        <x:v>Mesma especificação; decidir se marca/fabricante separa o SKU</x:v>
      </x:c>
      <x:c r="G56" s="28" t="str">
        <x:f>"SN+0004"</x:f>
        <x:v>SN+0004</x:v>
      </x:c>
      <x:c r="H56" s="22" t="str">
        <x:v>SULFATO DE NEOMICINA + BACITRACINA ZINCICA 15G - BELFAR</x:v>
      </x:c>
      <x:c r="I56" s="22" t="str">
        <x:v>15G</x:v>
      </x:c>
      <x:c r="J56" s="22" t="str">
        <x:v>15G</x:v>
      </x:c>
      <x:c r="K56" s="22" t="str">
        <x:v>UND</x:v>
      </x:c>
      <x:c r="L56" s="22" t="str">
        <x:v>BELFAR</x:v>
      </x:c>
      <x:c r="M56" s="28" t="str">
        <x:f>"GTIN: 789620009142"</x:f>
        <x:v>GTIN: 789620009142</x:v>
      </x:c>
      <x:c r="N56" s="28" t="str">
        <x:f>"770"</x:f>
        <x:v>770</x:v>
      </x:c>
      <x:c r="O56" s="27" t="str"/>
      <x:c r="P56" s="27" t="str"/>
    </x:row>
    <x:row r="57">
      <x:c r="A57" s="28" t="str">
        <x:f>"DUP-014"</x:f>
        <x:v>DUP-014</x:v>
      </x:c>
      <x:c r="B57" s="22" t="str">
        <x:v>SULFATO NEOMICINA BACITRACINA ZINCICA</x:v>
      </x:c>
      <x:c r="C57" s="22" t="str">
        <x:v>15G 15G UNIDADE UND</x:v>
      </x:c>
      <x:c r="D57" s="22" t="n">
        <x:v>3</x:v>
      </x:c>
      <x:c r="E57" s="22" t="str">
        <x:v>BAIXO</x:v>
      </x:c>
      <x:c r="F57" s="22" t="str">
        <x:v>Mesma especificação; decidir se marca/fabricante separa o SKU</x:v>
      </x:c>
      <x:c r="G57" s="28" t="str">
        <x:f>"SN+0003"</x:f>
        <x:v>SN+0003</x:v>
      </x:c>
      <x:c r="H57" s="22" t="str">
        <x:v>SULFATO DE NEOMICINA + BACITRACINA ZINCICA 15G - EMS</x:v>
      </x:c>
      <x:c r="I57" s="22" t="str">
        <x:v>15G</x:v>
      </x:c>
      <x:c r="J57" s="22" t="str">
        <x:v>15G</x:v>
      </x:c>
      <x:c r="K57" s="22" t="str">
        <x:v>UND</x:v>
      </x:c>
      <x:c r="L57" s="22" t="str">
        <x:v>EMS</x:v>
      </x:c>
      <x:c r="M57" s="28" t="str">
        <x:f>"GTIN: 7896004715902"</x:f>
        <x:v>GTIN: 7896004715902</x:v>
      </x:c>
      <x:c r="N57" s="28" t="str">
        <x:f>"771 | 772 | 773"</x:f>
        <x:v>771 | 772 | 773</x:v>
      </x:c>
      <x:c r="O57" s="27" t="str"/>
      <x:c r="P57" s="27" t="str"/>
    </x:row>
    <x:row r="58">
      <x:c r="A58" s="28" t="str">
        <x:f>"DUP-014"</x:f>
        <x:v>DUP-014</x:v>
      </x:c>
      <x:c r="B58" s="22" t="str">
        <x:v>SULFATO NEOMICINA BACITRACINA ZINCICA</x:v>
      </x:c>
      <x:c r="C58" s="22" t="str">
        <x:v>15G 15G UNIDADE UND</x:v>
      </x:c>
      <x:c r="D58" s="22" t="n">
        <x:v>3</x:v>
      </x:c>
      <x:c r="E58" s="22" t="str">
        <x:v>BAIXO</x:v>
      </x:c>
      <x:c r="F58" s="22" t="str">
        <x:v>Mesma especificação; decidir se marca/fabricante separa o SKU</x:v>
      </x:c>
      <x:c r="G58" s="28" t="str">
        <x:f>"SN+0008"</x:f>
        <x:v>SN+0008</x:v>
      </x:c>
      <x:c r="H58" s="22" t="str">
        <x:v>SULFATO DE NEOMICINA + BACITRACINA ZINCICA 15G EMS</x:v>
      </x:c>
      <x:c r="I58" s="22" t="str">
        <x:v>15G</x:v>
      </x:c>
      <x:c r="J58" s="22" t="str">
        <x:v>15G</x:v>
      </x:c>
      <x:c r="K58" s="22" t="str">
        <x:v>UND</x:v>
      </x:c>
      <x:c r="L58" s="22" t="str">
        <x:v>EMS</x:v>
      </x:c>
      <x:c r="M58" s="28" t="str">
        <x:f>"GTIN: 7896004715902"</x:f>
        <x:v>GTIN: 7896004715902</x:v>
      </x:c>
      <x:c r="N58" s="28" t="str">
        <x:f>"774 | 775"</x:f>
        <x:v>774 | 775</x:v>
      </x:c>
      <x:c r="O58" s="27" t="str"/>
      <x:c r="P58" s="27" t="str"/>
    </x:row>
    <x:row r="59">
      <x:c r="A59" s="28" t="str">
        <x:f>"DUP-015"</x:f>
        <x:v>DUP-015</x:v>
      </x:c>
      <x:c r="B59" s="22" t="str">
        <x:v>SULFATO NEOMICINA BACITRACINA ZINCICA G</x:v>
      </x:c>
      <x:c r="C59" s="22" t="str">
        <x:v>5MG G 5MG 250UI 15G 15G UNIDADE UND</x:v>
      </x:c>
      <x:c r="D59" s="22" t="n">
        <x:v>3</x:v>
      </x:c>
      <x:c r="E59" s="22" t="str">
        <x:v>ALTO</x:v>
      </x:c>
      <x:c r="F59" s="22" t="str">
        <x:v>Mesma especificação; decidir se marca/fabricante separa o SKU</x:v>
      </x:c>
      <x:c r="G59" s="28" t="str">
        <x:f>"SN+0002"</x:f>
        <x:v>SN+0002</x:v>
      </x:c>
      <x:c r="H59" s="22" t="str">
        <x:v>SULFATO DE NEOMICINA 5MG/G + BACITRACINA ZINCICA 250UI/G 15G ALTEFAR</x:v>
      </x:c>
      <x:c r="I59" s="22" t="str">
        <x:v>5MG/G | 5MG | 250UI | 15G</x:v>
      </x:c>
      <x:c r="J59" s="22" t="str">
        <x:v>15G</x:v>
      </x:c>
      <x:c r="K59" s="22" t="str">
        <x:v>UND</x:v>
      </x:c>
      <x:c r="L59" s="22" t="str">
        <x:v>ALTEFAR</x:v>
      </x:c>
      <x:c r="M59" s="28" t="str"/>
      <x:c r="N59" s="28" t="str">
        <x:f>"777"</x:f>
        <x:v>777</x:v>
      </x:c>
      <x:c r="O59" s="27" t="str"/>
      <x:c r="P59" s="27" t="str"/>
    </x:row>
    <x:row r="60">
      <x:c r="A60" s="28" t="str">
        <x:f>"DUP-015"</x:f>
        <x:v>DUP-015</x:v>
      </x:c>
      <x:c r="B60" s="22" t="str">
        <x:v>SULFATO NEOMICINA BACITRACINA ZINCICA G</x:v>
      </x:c>
      <x:c r="C60" s="22" t="str">
        <x:v>5MG G 5MG 250UI 15G 15G UNIDADE UND</x:v>
      </x:c>
      <x:c r="D60" s="22" t="n">
        <x:v>3</x:v>
      </x:c>
      <x:c r="E60" s="22" t="str">
        <x:v>ALTO</x:v>
      </x:c>
      <x:c r="F60" s="22" t="str">
        <x:v>Mesma especificação; decidir se marca/fabricante separa o SKU</x:v>
      </x:c>
      <x:c r="G60" s="28" t="str">
        <x:f>"SN50005"</x:f>
        <x:v>SN50005</x:v>
      </x:c>
      <x:c r="H60" s="22" t="str">
        <x:v>SULFATO DE NEOMICINA 5MG/G + BACITRACINA ZINCICA 250UI/G 15G MEDLEY</x:v>
      </x:c>
      <x:c r="I60" s="22" t="str">
        <x:v>5MG/G | 5MG | 250UI | 15G</x:v>
      </x:c>
      <x:c r="J60" s="22" t="str">
        <x:v>15G</x:v>
      </x:c>
      <x:c r="K60" s="22" t="str">
        <x:v>UND</x:v>
      </x:c>
      <x:c r="L60" s="22" t="str">
        <x:v>MEDLEY</x:v>
      </x:c>
      <x:c r="M60" s="28" t="str">
        <x:f>"GTIN: 04136033"</x:f>
        <x:v>GTIN: 04136033</x:v>
      </x:c>
      <x:c r="N60" s="28" t="str">
        <x:f>"778 | 779"</x:f>
        <x:v>778 | 779</x:v>
      </x:c>
      <x:c r="O60" s="27" t="str"/>
      <x:c r="P60" s="27" t="str"/>
    </x:row>
    <x:row r="61">
      <x:c r="A61" s="28" t="str">
        <x:f>"DUP-015"</x:f>
        <x:v>DUP-015</x:v>
      </x:c>
      <x:c r="B61" s="22" t="str">
        <x:v>SULFATO NEOMICINA BACITRACINA ZINCICA G</x:v>
      </x:c>
      <x:c r="C61" s="22" t="str">
        <x:v>5MG G 5MG 250UI 15G 15G UNIDADE UND</x:v>
      </x:c>
      <x:c r="D61" s="22" t="n">
        <x:v>3</x:v>
      </x:c>
      <x:c r="E61" s="22" t="str">
        <x:v>ALTO</x:v>
      </x:c>
      <x:c r="F61" s="22" t="str">
        <x:v>Mesma especificação; decidir se marca/fabricante separa o SKU</x:v>
      </x:c>
      <x:c r="G61" s="28" t="str">
        <x:f>"SN50003"</x:f>
        <x:v>SN50003</x:v>
      </x:c>
      <x:c r="H61" s="22" t="str">
        <x:v>SULFATO DE NEOMICINA 5MG/G + BACITRACINA ZINCICA 250UI/G 15G PRATI</x:v>
      </x:c>
      <x:c r="I61" s="22" t="str">
        <x:v>5MG/G | 5MG | 250UI | 15G</x:v>
      </x:c>
      <x:c r="J61" s="22" t="str">
        <x:v>15G</x:v>
      </x:c>
      <x:c r="K61" s="22" t="str">
        <x:v>UND</x:v>
      </x:c>
      <x:c r="L61" s="22" t="str">
        <x:v>PRATI</x:v>
      </x:c>
      <x:c r="M61" s="28" t="str">
        <x:f>"GTIN: 04136033"</x:f>
        <x:v>GTIN: 04136033</x:v>
      </x:c>
      <x:c r="N61" s="28" t="str">
        <x:f>"780 | 781 | 782"</x:f>
        <x:v>780 | 781 | 782</x:v>
      </x:c>
      <x:c r="O61" s="27" t="str"/>
      <x:c r="P61" s="27" t="str"/>
    </x:row>
    <x:row r="62">
      <x:c r="A62" s="28" t="str">
        <x:f>"DUP-016"</x:f>
        <x:v>DUP-016</x:v>
      </x:c>
      <x:c r="B62" s="22" t="str">
        <x:v>AMOXICILINA CLAVULANATO</x:v>
      </x:c>
      <x:c r="C62" s="22" t="str">
        <x:v>1G 200MG 1G CAIXA CX 10 CX CONTEUDO10 FATOR10</x:v>
      </x:c>
      <x:c r="D62" s="22" t="n">
        <x:v>2</x:v>
      </x:c>
      <x:c r="E62" s="22" t="str">
        <x:v>ALTO</x:v>
      </x:c>
      <x:c r="F62" s="22" t="str">
        <x:v>Mesma especificação; decidir se marca/fabricante separa o SKU</x:v>
      </x:c>
      <x:c r="G62" s="28" t="str">
        <x:f>"A+C0010"</x:f>
        <x:v>A+C0010</x:v>
      </x:c>
      <x:c r="H62" s="22" t="str">
        <x:v>AMOXICILINA + CLAVULANATO 1G + 200MG - CX/10 - EUGIA</x:v>
      </x:c>
      <x:c r="I62" s="22" t="str">
        <x:v>1G | 200MG</x:v>
      </x:c>
      <x:c r="J62" s="22" t="str">
        <x:v>1G</x:v>
      </x:c>
      <x:c r="K62" s="22" t="str">
        <x:v>CX/10 | CX | CONTEUDO10 | FATOR10</x:v>
      </x:c>
      <x:c r="L62" s="22" t="str">
        <x:v>EUGIA</x:v>
      </x:c>
      <x:c r="M62" s="28" t="str">
        <x:f>"GTIN: 7898739420304"</x:f>
        <x:v>GTIN: 7898739420304</x:v>
      </x:c>
      <x:c r="N62" s="28" t="str">
        <x:f>"58 | 59 | 60 | 61"</x:f>
        <x:v>58 | 59 | 60 | 61</x:v>
      </x:c>
      <x:c r="O62" s="27" t="str"/>
      <x:c r="P62" s="27" t="str"/>
    </x:row>
    <x:row r="63">
      <x:c r="A63" s="28" t="str">
        <x:f>"DUP-016"</x:f>
        <x:v>DUP-016</x:v>
      </x:c>
      <x:c r="B63" s="22" t="str">
        <x:v>AMOXICILINA CLAVULANATO</x:v>
      </x:c>
      <x:c r="C63" s="22" t="str">
        <x:v>1G 200MG 1G CAIXA CX 10 CX CONTEUDO10 FATOR10</x:v>
      </x:c>
      <x:c r="D63" s="22" t="n">
        <x:v>2</x:v>
      </x:c>
      <x:c r="E63" s="22" t="str">
        <x:v>ALTO</x:v>
      </x:c>
      <x:c r="F63" s="22" t="str">
        <x:v>Mesma especificação; decidir se marca/fabricante separa o SKU</x:v>
      </x:c>
      <x:c r="G63" s="28" t="str">
        <x:f>"A+C0037"</x:f>
        <x:v>A+C0037</x:v>
      </x:c>
      <x:c r="H63" s="22" t="str">
        <x:v>AMOXICILINA + CLAVULANATO 1G + 200MG - CX/10 - EUROFARMA</x:v>
      </x:c>
      <x:c r="I63" s="22" t="str">
        <x:v>1G | 200MG</x:v>
      </x:c>
      <x:c r="J63" s="22" t="str">
        <x:v>1G</x:v>
      </x:c>
      <x:c r="K63" s="22" t="str">
        <x:v>CX/10 | CX | CONTEUDO10 | FATOR10</x:v>
      </x:c>
      <x:c r="L63" s="22" t="str">
        <x:v>EUROFARMA</x:v>
      </x:c>
      <x:c r="M63" s="28" t="str">
        <x:f>"GTIN: 7891317003371"</x:f>
        <x:v>GTIN: 7891317003371</x:v>
      </x:c>
      <x:c r="N63" s="28" t="str">
        <x:f>"62"</x:f>
        <x:v>62</x:v>
      </x:c>
      <x:c r="O63" s="27" t="str"/>
      <x:c r="P63" s="27" t="str"/>
    </x:row>
    <x:row r="64">
      <x:c r="A64" s="28" t="str">
        <x:f>"DUP-017"</x:f>
        <x:v>DUP-017</x:v>
      </x:c>
      <x:c r="B64" s="22" t="str">
        <x:v>AZITROMICINA DI HIDRATADA AZICIN</x:v>
      </x:c>
      <x:c r="C64" s="22" t="str">
        <x:v>500MG CAIXA CX 10 CX CONTEUDO10 FATOR10</x:v>
      </x:c>
      <x:c r="D64" s="22" t="n">
        <x:v>2</x:v>
      </x:c>
      <x:c r="E64" s="22" t="str">
        <x:v>BAIXO</x:v>
      </x:c>
      <x:c r="F64" s="22" t="str">
        <x:v>Mesma especificação; decidir se marca/fabricante separa o SKU</x:v>
      </x:c>
      <x:c r="G64" s="28" t="str">
        <x:f>"ADA0001"</x:f>
        <x:v>ADA0001</x:v>
      </x:c>
      <x:c r="H64" s="22" t="str">
        <x:v>AZITROMICINA DI-HIDRATADA AZICIN 500MG CX/10 - CRISTÁLIA</x:v>
      </x:c>
      <x:c r="I64" s="22" t="str">
        <x:v>500MG</x:v>
      </x:c>
      <x:c r="J64" s="22" t="str"/>
      <x:c r="K64" s="22" t="str">
        <x:v>CX/10 | CX | CONTEUDO10 | FATOR10</x:v>
      </x:c>
      <x:c r="L64" s="22" t="str">
        <x:v>CRISTÁLIA</x:v>
      </x:c>
      <x:c r="M64" s="28" t="str">
        <x:f>"GTIN: 7898216365708"</x:f>
        <x:v>GTIN: 7898216365708</x:v>
      </x:c>
      <x:c r="N64" s="28" t="str">
        <x:f>"73 | 74"</x:f>
        <x:v>73 | 74</x:v>
      </x:c>
      <x:c r="O64" s="27" t="str"/>
      <x:c r="P64" s="27" t="str"/>
    </x:row>
    <x:row r="65">
      <x:c r="A65" s="28" t="str">
        <x:f>"DUP-017"</x:f>
        <x:v>DUP-017</x:v>
      </x:c>
      <x:c r="B65" s="22" t="str">
        <x:v>AZITROMICINA DI HIDRATADA AZICIN</x:v>
      </x:c>
      <x:c r="C65" s="22" t="str">
        <x:v>500MG CAIXA CX 10 CX CONTEUDO10 FATOR10</x:v>
      </x:c>
      <x:c r="D65" s="22" t="n">
        <x:v>2</x:v>
      </x:c>
      <x:c r="E65" s="22" t="str">
        <x:v>BAIXO</x:v>
      </x:c>
      <x:c r="F65" s="22" t="str">
        <x:v>Mesma especificação; decidir se marca/fabricante separa o SKU</x:v>
      </x:c>
      <x:c r="G65" s="28" t="str">
        <x:f>"ADA0003"</x:f>
        <x:v>ADA0003</x:v>
      </x:c>
      <x:c r="H65" s="22" t="str">
        <x:v>AZITROMICINA DI-HIDRATADA AZICIN 500MG CX/10 - GLOBO</x:v>
      </x:c>
      <x:c r="I65" s="22" t="str">
        <x:v>500MG</x:v>
      </x:c>
      <x:c r="J65" s="22" t="str"/>
      <x:c r="K65" s="22" t="str">
        <x:v>CX/10 | CX | CONTEUDO10 | FATOR10</x:v>
      </x:c>
      <x:c r="L65" s="22" t="str">
        <x:v>GLOBO</x:v>
      </x:c>
      <x:c r="M65" s="28" t="str">
        <x:f>"GTIN: 7898216365708"</x:f>
        <x:v>GTIN: 7898216365708</x:v>
      </x:c>
      <x:c r="N65" s="28" t="str">
        <x:f>"75"</x:f>
        <x:v>75</x:v>
      </x:c>
      <x:c r="O65" s="27" t="str"/>
      <x:c r="P65" s="27" t="str"/>
    </x:row>
    <x:row r="66">
      <x:c r="A66" s="28" t="str">
        <x:f>"DUP-018"</x:f>
        <x:v>DUP-018</x:v>
      </x:c>
      <x:c r="B66" s="22" t="str">
        <x:v>BROMETO ROCURONIO</x:v>
      </x:c>
      <x:c r="C66" s="22" t="str">
        <x:v>10MG 5ML 10MG 5ML CAIXA CX 25 CX CONTEUDO25 FATOR25</x:v>
      </x:c>
      <x:c r="D66" s="22" t="n">
        <x:v>2</x:v>
      </x:c>
      <x:c r="E66" s="22" t="str">
        <x:v>BAIXO</x:v>
      </x:c>
      <x:c r="F66" s="22" t="str">
        <x:v>Mesma especificação; decidir se marca/fabricante separa o SKU</x:v>
      </x:c>
      <x:c r="G66" s="28" t="str">
        <x:f>"BR10002"</x:f>
        <x:v>BR10002</x:v>
      </x:c>
      <x:c r="H66" s="22" t="str">
        <x:v>BROMETO DE ROCURONIO 10MG/5ML - CX/25 - CRISTALIA</x:v>
      </x:c>
      <x:c r="I66" s="22" t="str">
        <x:v>10MG/5ML | 10MG | 5ML</x:v>
      </x:c>
      <x:c r="J66" s="22" t="str"/>
      <x:c r="K66" s="22" t="str">
        <x:v>CX/25 | CX | CONTEUDO25 | FATOR25</x:v>
      </x:c>
      <x:c r="L66" s="22" t="str">
        <x:v>CRISTALIA</x:v>
      </x:c>
      <x:c r="M66" s="28" t="str"/>
      <x:c r="N66" s="28" t="str">
        <x:f>"78 | 79 | 80"</x:f>
        <x:v>78 | 79 | 80</x:v>
      </x:c>
      <x:c r="O66" s="27" t="str"/>
      <x:c r="P66" s="27" t="str"/>
    </x:row>
    <x:row r="67">
      <x:c r="A67" s="28" t="str">
        <x:f>"DUP-018"</x:f>
        <x:v>DUP-018</x:v>
      </x:c>
      <x:c r="B67" s="22" t="str">
        <x:v>BROMETO ROCURONIO</x:v>
      </x:c>
      <x:c r="C67" s="22" t="str">
        <x:v>10MG 5ML 10MG 5ML CAIXA CX 25 CX CONTEUDO25 FATOR25</x:v>
      </x:c>
      <x:c r="D67" s="22" t="n">
        <x:v>2</x:v>
      </x:c>
      <x:c r="E67" s="22" t="str">
        <x:v>BAIXO</x:v>
      </x:c>
      <x:c r="F67" s="22" t="str">
        <x:v>Mesma especificação; decidir se marca/fabricante separa o SKU</x:v>
      </x:c>
      <x:c r="G67" s="28" t="str">
        <x:f>"BR10001"</x:f>
        <x:v>BR10001</x:v>
      </x:c>
      <x:c r="H67" s="22" t="str">
        <x:v>BROMETO DE ROCURONIO 10MG/5ML - CX/25 - VOLPHARMA</x:v>
      </x:c>
      <x:c r="I67" s="22" t="str">
        <x:v>10MG/5ML | 10MG | 5ML</x:v>
      </x:c>
      <x:c r="J67" s="22" t="str"/>
      <x:c r="K67" s="22" t="str">
        <x:v>CX/25 | CX | CONTEUDO25 | FATOR25</x:v>
      </x:c>
      <x:c r="L67" s="22" t="str">
        <x:v>VOLPHARMA</x:v>
      </x:c>
      <x:c r="M67" s="28" t="str">
        <x:f>"GTIN: 7898560661969"</x:f>
        <x:v>GTIN: 7898560661969</x:v>
      </x:c>
      <x:c r="N67" s="28" t="str">
        <x:f>"81"</x:f>
        <x:v>81</x:v>
      </x:c>
      <x:c r="O67" s="27" t="str"/>
      <x:c r="P67" s="27" t="str"/>
    </x:row>
    <x:row r="68">
      <x:c r="A68" s="28" t="str">
        <x:f>"DUP-019"</x:f>
        <x:v>DUP-019</x:v>
      </x:c>
      <x:c r="B68" s="22" t="str">
        <x:v>CANULA GUEDEL N ESTERIL 50UN</x:v>
      </x:c>
      <x:c r="C68" s="22" t="str">
        <x:v>UNIDADE CX UN</x:v>
      </x:c>
      <x:c r="D68" s="22" t="n">
        <x:v>2</x:v>
      </x:c>
      <x:c r="E68" s="22" t="str">
        <x:v>BAIXO</x:v>
      </x:c>
      <x:c r="F68" s="22" t="str">
        <x:v>Candidato forte a consolidação, validar antes</x:v>
      </x:c>
      <x:c r="G68" s="28" t="str">
        <x:f>"CGN0001"</x:f>
        <x:v>CGN0001</x:v>
      </x:c>
      <x:c r="H68" s="22" t="str">
        <x:v>CANULA DE GUEDEL N°01 70MM ESTERIL CX/ 50UN- SEVEN</x:v>
      </x:c>
      <x:c r="I68" s="22" t="str"/>
      <x:c r="J68" s="22" t="str"/>
      <x:c r="K68" s="22" t="str">
        <x:v>CX/ | UN</x:v>
      </x:c>
      <x:c r="L68" s="22" t="str">
        <x:v>SEVEN</x:v>
      </x:c>
      <x:c r="M68" s="28" t="str"/>
      <x:c r="N68" s="28" t="str">
        <x:f>"91"</x:f>
        <x:v>91</x:v>
      </x:c>
      <x:c r="O68" s="27" t="str"/>
      <x:c r="P68" s="27" t="str"/>
    </x:row>
    <x:row r="69">
      <x:c r="A69" s="28" t="str">
        <x:f>"DUP-019"</x:f>
        <x:v>DUP-019</x:v>
      </x:c>
      <x:c r="B69" s="22" t="str">
        <x:v>CANULA GUEDEL N ESTERIL 50UN</x:v>
      </x:c>
      <x:c r="C69" s="22" t="str">
        <x:v>UNIDADE CX UN</x:v>
      </x:c>
      <x:c r="D69" s="22" t="n">
        <x:v>2</x:v>
      </x:c>
      <x:c r="E69" s="22" t="str">
        <x:v>BAIXO</x:v>
      </x:c>
      <x:c r="F69" s="22" t="str">
        <x:v>Candidato forte a consolidação, validar antes</x:v>
      </x:c>
      <x:c r="G69" s="28" t="str">
        <x:f>"CGN0002"</x:f>
        <x:v>CGN0002</x:v>
      </x:c>
      <x:c r="H69" s="22" t="str">
        <x:v>CANULA DE GUEDEL N°02 80MM ESTERIL CX/ 50UN- SEVEN</x:v>
      </x:c>
      <x:c r="I69" s="22" t="str"/>
      <x:c r="J69" s="22" t="str"/>
      <x:c r="K69" s="22" t="str">
        <x:v>CX/ | UN</x:v>
      </x:c>
      <x:c r="L69" s="22" t="str">
        <x:v>SEVEN</x:v>
      </x:c>
      <x:c r="M69" s="28" t="str"/>
      <x:c r="N69" s="28" t="str">
        <x:f>"92"</x:f>
        <x:v>92</x:v>
      </x:c>
      <x:c r="O69" s="27" t="str"/>
      <x:c r="P69" s="27" t="str"/>
    </x:row>
    <x:row r="70">
      <x:c r="A70" s="28" t="str">
        <x:f>"DUP-020"</x:f>
        <x:v>DUP-020</x:v>
      </x:c>
      <x:c r="B70" s="22" t="str">
        <x:v>CATETER JELCO</x:v>
      </x:c>
      <x:c r="C70" s="22" t="str">
        <x:v>16G 16G CAIXA CX 100 CX CONTEUDO100 FATOR100</x:v>
      </x:c>
      <x:c r="D70" s="22" t="n">
        <x:v>2</x:v>
      </x:c>
      <x:c r="E70" s="22" t="str">
        <x:v>ALTO</x:v>
      </x:c>
      <x:c r="F70" s="22" t="str">
        <x:v>Mesma especificação; decidir se marca/fabricante separa o SKU</x:v>
      </x:c>
      <x:c r="G70" s="28" t="str">
        <x:f>"ED20002"</x:f>
        <x:v>ED20002</x:v>
      </x:c>
      <x:c r="H70" s="22" t="str">
        <x:v>CATETER JELCO 16G - CX/100 - DESCARPACK</x:v>
      </x:c>
      <x:c r="I70" s="22" t="str">
        <x:v>16G</x:v>
      </x:c>
      <x:c r="J70" s="22" t="str">
        <x:v>16G</x:v>
      </x:c>
      <x:c r="K70" s="22" t="str">
        <x:v>CX/100 | CX | CONTEUDO100 | FATOR100</x:v>
      </x:c>
      <x:c r="L70" s="22" t="str">
        <x:v>DESCARPACK</x:v>
      </x:c>
      <x:c r="M70" s="28" t="str">
        <x:f>"GTIN: 7898283816844"</x:f>
        <x:v>GTIN: 7898283816844</x:v>
      </x:c>
      <x:c r="N70" s="28" t="str">
        <x:f>"106"</x:f>
        <x:v>106</x:v>
      </x:c>
      <x:c r="O70" s="27" t="str"/>
      <x:c r="P70" s="27" t="str"/>
    </x:row>
    <x:row r="71">
      <x:c r="A71" s="28" t="str">
        <x:f>"DUP-020"</x:f>
        <x:v>DUP-020</x:v>
      </x:c>
      <x:c r="B71" s="22" t="str">
        <x:v>CATETER JELCO</x:v>
      </x:c>
      <x:c r="C71" s="22" t="str">
        <x:v>16G 16G CAIXA CX 100 CX CONTEUDO100 FATOR100</x:v>
      </x:c>
      <x:c r="D71" s="22" t="n">
        <x:v>2</x:v>
      </x:c>
      <x:c r="E71" s="22" t="str">
        <x:v>ALTO</x:v>
      </x:c>
      <x:c r="F71" s="22" t="str">
        <x:v>Mesma especificação; decidir se marca/fabricante separa o SKU</x:v>
      </x:c>
      <x:c r="G71" s="28" t="str">
        <x:f>"CJ10001"</x:f>
        <x:v>CJ10001</x:v>
      </x:c>
      <x:c r="H71" s="22" t="str">
        <x:v>CATETER JELCO 16G - CX/100 - SEVEN CARE</x:v>
      </x:c>
      <x:c r="I71" s="22" t="str">
        <x:v>16G</x:v>
      </x:c>
      <x:c r="J71" s="22" t="str">
        <x:v>16G</x:v>
      </x:c>
      <x:c r="K71" s="22" t="str">
        <x:v>CX/100 | CX | CONTEUDO100 | FATOR100</x:v>
      </x:c>
      <x:c r="L71" s="22" t="str">
        <x:v>SEVEN CARE</x:v>
      </x:c>
      <x:c r="M71" s="28" t="str">
        <x:f>"GTIN: 7898283816844"</x:f>
        <x:v>GTIN: 7898283816844</x:v>
      </x:c>
      <x:c r="N71" s="28" t="str">
        <x:f>"107"</x:f>
        <x:v>107</x:v>
      </x:c>
      <x:c r="O71" s="27" t="str"/>
      <x:c r="P71" s="27" t="str"/>
    </x:row>
    <x:row r="72">
      <x:c r="A72" s="28" t="str">
        <x:f>"DUP-021"</x:f>
        <x:v>DUP-021</x:v>
      </x:c>
      <x:c r="B72" s="22" t="str">
        <x:v>CATETER JELCO</x:v>
      </x:c>
      <x:c r="C72" s="22" t="str">
        <x:v>20G 20G CAIXA CX CONTEUDO100 FATOR100</x:v>
      </x:c>
      <x:c r="D72" s="22" t="n">
        <x:v>2</x:v>
      </x:c>
      <x:c r="E72" s="22" t="str">
        <x:v>ALTO</x:v>
      </x:c>
      <x:c r="F72" s="22" t="str">
        <x:v>Mesma especificação; decidir se marca/fabricante separa o SKU</x:v>
      </x:c>
      <x:c r="G72" s="28" t="str">
        <x:f>"CJ20002"</x:f>
        <x:v>CJ20002</x:v>
      </x:c>
      <x:c r="H72" s="22" t="str">
        <x:v>CATETER JELCO 20G - DESCARPACK</x:v>
      </x:c>
      <x:c r="I72" s="22" t="str">
        <x:v>20G</x:v>
      </x:c>
      <x:c r="J72" s="22" t="str">
        <x:v>20G</x:v>
      </x:c>
      <x:c r="K72" s="22" t="str">
        <x:v>CX | CONTEUDO100 | FATOR100</x:v>
      </x:c>
      <x:c r="L72" s="22" t="str">
        <x:v>DESCARPACK</x:v>
      </x:c>
      <x:c r="M72" s="28" t="str">
        <x:f>"GTIN: 7898283816844"</x:f>
        <x:v>GTIN: 7898283816844</x:v>
      </x:c>
      <x:c r="N72" s="28" t="str">
        <x:f>"109"</x:f>
        <x:v>109</x:v>
      </x:c>
      <x:c r="O72" s="27" t="str"/>
      <x:c r="P72" s="27" t="str"/>
    </x:row>
    <x:row r="73">
      <x:c r="A73" s="28" t="str">
        <x:f>"DUP-021"</x:f>
        <x:v>DUP-021</x:v>
      </x:c>
      <x:c r="B73" s="22" t="str">
        <x:v>CATETER JELCO</x:v>
      </x:c>
      <x:c r="C73" s="22" t="str">
        <x:v>20G 20G CAIXA CX CONTEUDO100 FATOR100</x:v>
      </x:c>
      <x:c r="D73" s="22" t="n">
        <x:v>2</x:v>
      </x:c>
      <x:c r="E73" s="22" t="str">
        <x:v>ALTO</x:v>
      </x:c>
      <x:c r="F73" s="22" t="str">
        <x:v>Mesma especificação; decidir se marca/fabricante separa o SKU</x:v>
      </x:c>
      <x:c r="G73" s="28" t="str">
        <x:f>"CJ20001"</x:f>
        <x:v>CJ20001</x:v>
      </x:c>
      <x:c r="H73" s="22" t="str">
        <x:v>CATETER JELCO 20G - POLYMED</x:v>
      </x:c>
      <x:c r="I73" s="22" t="str">
        <x:v>20G</x:v>
      </x:c>
      <x:c r="J73" s="22" t="str">
        <x:v>20G</x:v>
      </x:c>
      <x:c r="K73" s="22" t="str">
        <x:v>CX | CONTEUDO100 | FATOR100</x:v>
      </x:c>
      <x:c r="L73" s="22" t="str">
        <x:v>POLYMED</x:v>
      </x:c>
      <x:c r="M73" s="28" t="str">
        <x:f>"GTIN: 7898283816844"</x:f>
        <x:v>GTIN: 7898283816844</x:v>
      </x:c>
      <x:c r="N73" s="28" t="str">
        <x:f>"110"</x:f>
        <x:v>110</x:v>
      </x:c>
      <x:c r="O73" s="27" t="str"/>
      <x:c r="P73" s="27" t="str"/>
    </x:row>
    <x:row r="74">
      <x:c r="A74" s="28" t="str">
        <x:f>"DUP-022"</x:f>
        <x:v>DUP-022</x:v>
      </x:c>
      <x:c r="B74" s="22" t="str">
        <x:v>CEFAZOLINA SODICA</x:v>
      </x:c>
      <x:c r="C74" s="22" t="str">
        <x:v>1G 1G UNIDADE UN</x:v>
      </x:c>
      <x:c r="D74" s="22" t="n">
        <x:v>2</x:v>
      </x:c>
      <x:c r="E74" s="22" t="str">
        <x:v>BAIXO</x:v>
      </x:c>
      <x:c r="F74" s="22" t="str">
        <x:v>Mesma especificação; decidir se marca/fabricante separa o SKU</x:v>
      </x:c>
      <x:c r="G74" s="28" t="str">
        <x:f>"CS10025"</x:f>
        <x:v>CS10025</x:v>
      </x:c>
      <x:c r="H74" s="22" t="str">
        <x:v>CEFAZOLINA SÓDICA 1G C/50 - BLAU</x:v>
      </x:c>
      <x:c r="I74" s="22" t="str">
        <x:v>1G</x:v>
      </x:c>
      <x:c r="J74" s="22" t="str">
        <x:v>1G</x:v>
      </x:c>
      <x:c r="K74" s="22" t="str">
        <x:v>UN</x:v>
      </x:c>
      <x:c r="L74" s="22" t="str">
        <x:v>BLAU</x:v>
      </x:c>
      <x:c r="M74" s="28" t="str">
        <x:f>"GTIN: 7898901848509"</x:f>
        <x:v>GTIN: 7898901848509</x:v>
      </x:c>
      <x:c r="N74" s="28" t="str">
        <x:f>"138 | 139 | 140 | 141 | 142 | 143 | 144 | 145 | 146 | 147 | 148 | 149"</x:f>
        <x:v>138 | 139 | 140 | 141 | 142 | 143 | 144 | 145 | 146 | 147 | 148 | 149</x:v>
      </x:c>
      <x:c r="O74" s="27" t="str"/>
      <x:c r="P74" s="27" t="str"/>
    </x:row>
    <x:row r="75">
      <x:c r="A75" s="28" t="str">
        <x:f>"DUP-022"</x:f>
        <x:v>DUP-022</x:v>
      </x:c>
      <x:c r="B75" s="22" t="str">
        <x:v>CEFAZOLINA SODICA</x:v>
      </x:c>
      <x:c r="C75" s="22" t="str">
        <x:v>1G 1G UNIDADE UN</x:v>
      </x:c>
      <x:c r="D75" s="22" t="n">
        <x:v>2</x:v>
      </x:c>
      <x:c r="E75" s="22" t="str">
        <x:v>BAIXO</x:v>
      </x:c>
      <x:c r="F75" s="22" t="str">
        <x:v>Mesma especificação; decidir se marca/fabricante separa o SKU</x:v>
      </x:c>
      <x:c r="G75" s="28" t="str">
        <x:f>"CS10004"</x:f>
        <x:v>CS10004</x:v>
      </x:c>
      <x:c r="H75" s="22" t="str">
        <x:v>CEFAZOLINA SÓDICA 1G C/50 - EUGIA</x:v>
      </x:c>
      <x:c r="I75" s="22" t="str">
        <x:v>1G</x:v>
      </x:c>
      <x:c r="J75" s="22" t="str">
        <x:v>1G</x:v>
      </x:c>
      <x:c r="K75" s="22" t="str">
        <x:v>UN</x:v>
      </x:c>
      <x:c r="L75" s="22" t="str">
        <x:v>EUGIA</x:v>
      </x:c>
      <x:c r="M75" s="28" t="str"/>
      <x:c r="N75" s="28" t="str">
        <x:f>"150 | 151 | 152 | 153 | 154 | 155"</x:f>
        <x:v>150 | 151 | 152 | 153 | 154 | 155</x:v>
      </x:c>
      <x:c r="O75" s="27" t="str"/>
      <x:c r="P75" s="27" t="str"/>
    </x:row>
    <x:row r="76">
      <x:c r="A76" s="28" t="str">
        <x:f>"DUP-023"</x:f>
        <x:v>DUP-023</x:v>
      </x:c>
      <x:c r="B76" s="22" t="str">
        <x:v>CEFTRIAXONA</x:v>
      </x:c>
      <x:c r="C76" s="22" t="str">
        <x:v>1G 1G CAIXA CX 50 CX CONTEUDO50 FATOR50</x:v>
      </x:c>
      <x:c r="D76" s="22" t="n">
        <x:v>2</x:v>
      </x:c>
      <x:c r="E76" s="22" t="str">
        <x:v>BAIXO</x:v>
      </x:c>
      <x:c r="F76" s="22" t="str">
        <x:v>Mesma especificação; decidir se marca/fabricante separa o SKU</x:v>
      </x:c>
      <x:c r="G76" s="28" t="str">
        <x:f>"C1A0005"</x:f>
        <x:v>C1A0005</x:v>
      </x:c>
      <x:c r="H76" s="22" t="str">
        <x:v>CEFTRIAXONA 1G - ABL - CX/50</x:v>
      </x:c>
      <x:c r="I76" s="22" t="str">
        <x:v>1G</x:v>
      </x:c>
      <x:c r="J76" s="22" t="str">
        <x:v>1G</x:v>
      </x:c>
      <x:c r="K76" s="22" t="str">
        <x:v>CX/50 | CX | CONTEUDO50 | FATOR50</x:v>
      </x:c>
      <x:c r="L76" s="22" t="str">
        <x:v>ABL</x:v>
      </x:c>
      <x:c r="M76" s="28" t="str">
        <x:f>"GTIN: 7891317003005"</x:f>
        <x:v>GTIN: 7891317003005</x:v>
      </x:c>
      <x:c r="N76" s="28" t="str">
        <x:f>"160 | 161"</x:f>
        <x:v>160 | 161</x:v>
      </x:c>
      <x:c r="O76" s="27" t="str"/>
      <x:c r="P76" s="27" t="str"/>
    </x:row>
    <x:row r="77">
      <x:c r="A77" s="28" t="str">
        <x:f>"DUP-023"</x:f>
        <x:v>DUP-023</x:v>
      </x:c>
      <x:c r="B77" s="22" t="str">
        <x:v>CEFTRIAXONA</x:v>
      </x:c>
      <x:c r="C77" s="22" t="str">
        <x:v>1G 1G CAIXA CX 50 CX CONTEUDO50 FATOR50</x:v>
      </x:c>
      <x:c r="D77" s="22" t="n">
        <x:v>2</x:v>
      </x:c>
      <x:c r="E77" s="22" t="str">
        <x:v>BAIXO</x:v>
      </x:c>
      <x:c r="F77" s="22" t="str">
        <x:v>Mesma especificação; decidir se marca/fabricante separa o SKU</x:v>
      </x:c>
      <x:c r="G77" s="28" t="str">
        <x:f>"C1-0002"</x:f>
        <x:v>C1-0002</x:v>
      </x:c>
      <x:c r="H77" s="22" t="str">
        <x:v>CEFTRIAXONA 1G - TEUTO - CX/50</x:v>
      </x:c>
      <x:c r="I77" s="22" t="str">
        <x:v>1G</x:v>
      </x:c>
      <x:c r="J77" s="22" t="str">
        <x:v>1G</x:v>
      </x:c>
      <x:c r="K77" s="22" t="str">
        <x:v>CX/50 | CX | CONTEUDO50 | FATOR50</x:v>
      </x:c>
      <x:c r="L77" s="22" t="str">
        <x:v>TEUTO</x:v>
      </x:c>
      <x:c r="M77" s="28" t="str"/>
      <x:c r="N77" s="28" t="str">
        <x:f>"162"</x:f>
        <x:v>162</x:v>
      </x:c>
      <x:c r="O77" s="27" t="str"/>
      <x:c r="P77" s="27" t="str"/>
    </x:row>
    <x:row r="78">
      <x:c r="A78" s="28" t="str">
        <x:f>"DUP-024"</x:f>
        <x:v>DUP-024</x:v>
      </x:c>
      <x:c r="B78" s="22" t="str">
        <x:v>CEFUROXIMA</x:v>
      </x:c>
      <x:c r="C78" s="22" t="str">
        <x:v>750MG CAIXA CX 25 CX CONTEUDO50 FATOR50</x:v>
      </x:c>
      <x:c r="D78" s="22" t="n">
        <x:v>2</x:v>
      </x:c>
      <x:c r="E78" s="22" t="str">
        <x:v>BAIXO</x:v>
      </x:c>
      <x:c r="F78" s="22" t="str">
        <x:v>Mesma especificação; decidir se marca/fabricante separa o SKU</x:v>
      </x:c>
      <x:c r="G78" s="28" t="str">
        <x:f>"C7-0001"</x:f>
        <x:v>C7-0001</x:v>
      </x:c>
      <x:c r="H78" s="22" t="str">
        <x:v>CEFUROXIMA 750MG - CX/25 - BIOCHIMICO</x:v>
      </x:c>
      <x:c r="I78" s="22" t="str">
        <x:v>750MG</x:v>
      </x:c>
      <x:c r="J78" s="22" t="str"/>
      <x:c r="K78" s="22" t="str">
        <x:v>CX/25 | CX | CONTEUDO50 | FATOR50</x:v>
      </x:c>
      <x:c r="L78" s="22" t="str">
        <x:v>BIOCHIMICO</x:v>
      </x:c>
      <x:c r="M78" s="28" t="str">
        <x:f>"GTIN: 7898739420656"</x:f>
        <x:v>GTIN: 7898739420656</x:v>
      </x:c>
      <x:c r="N78" s="28" t="str">
        <x:f>"164"</x:f>
        <x:v>164</x:v>
      </x:c>
      <x:c r="O78" s="27" t="str"/>
      <x:c r="P78" s="27" t="str"/>
    </x:row>
    <x:row r="79">
      <x:c r="A79" s="28" t="str">
        <x:f>"DUP-024"</x:f>
        <x:v>DUP-024</x:v>
      </x:c>
      <x:c r="B79" s="22" t="str">
        <x:v>CEFUROXIMA</x:v>
      </x:c>
      <x:c r="C79" s="22" t="str">
        <x:v>750MG CAIXA CX 25 CX CONTEUDO50 FATOR50</x:v>
      </x:c>
      <x:c r="D79" s="22" t="n">
        <x:v>2</x:v>
      </x:c>
      <x:c r="E79" s="22" t="str">
        <x:v>BAIXO</x:v>
      </x:c>
      <x:c r="F79" s="22" t="str">
        <x:v>Mesma especificação; decidir se marca/fabricante separa o SKU</x:v>
      </x:c>
      <x:c r="G79" s="28" t="str">
        <x:f>"C7-0006"</x:f>
        <x:v>C7-0006</x:v>
      </x:c>
      <x:c r="H79" s="22" t="str">
        <x:v>CEFUROXIMA 750MG - CX/25 - EUGIA</x:v>
      </x:c>
      <x:c r="I79" s="22" t="str">
        <x:v>750MG</x:v>
      </x:c>
      <x:c r="J79" s="22" t="str"/>
      <x:c r="K79" s="22" t="str">
        <x:v>CX/25 | CX | CONTEUDO50 | FATOR50</x:v>
      </x:c>
      <x:c r="L79" s="22" t="str">
        <x:v>EUGIA</x:v>
      </x:c>
      <x:c r="M79" s="28" t="str">
        <x:f>"GTIN: 7898739420656"</x:f>
        <x:v>GTIN: 7898739420656</x:v>
      </x:c>
      <x:c r="N79" s="28" t="str">
        <x:f>"165 | 166"</x:f>
        <x:v>165 | 166</x:v>
      </x:c>
      <x:c r="O79" s="27" t="str"/>
      <x:c r="P79" s="27" t="str"/>
    </x:row>
    <x:row r="80">
      <x:c r="A80" s="28" t="str">
        <x:f>"DUP-025"</x:f>
        <x:v>DUP-025</x:v>
      </x:c>
      <x:c r="B80" s="22" t="str">
        <x:v>CIPROFLOXACINO</x:v>
      </x:c>
      <x:c r="C80" s="22" t="str">
        <x:v>2MG 100ML 2MG 100ML CAIXA CX 60 CX CONTEUDO60 FATOR60</x:v>
      </x:c>
      <x:c r="D80" s="22" t="n">
        <x:v>2</x:v>
      </x:c>
      <x:c r="E80" s="22" t="str">
        <x:v>ALTO</x:v>
      </x:c>
      <x:c r="F80" s="22" t="str">
        <x:v>Mesma especificação; decidir se marca/fabricante separa o SKU</x:v>
      </x:c>
      <x:c r="G80" s="28" t="str">
        <x:f>"C2C0008"</x:f>
        <x:v>C2C0008</x:v>
      </x:c>
      <x:c r="H80" s="22" t="str">
        <x:v>CIPROFLOXACINO 2MG/100ML - CX/60 - HALEXISTAR</x:v>
      </x:c>
      <x:c r="I80" s="22" t="str">
        <x:v>2MG/100ML | 2MG | 100ML</x:v>
      </x:c>
      <x:c r="J80" s="22" t="str"/>
      <x:c r="K80" s="22" t="str">
        <x:v>CX/60 | CX | CONTEUDO60 | FATOR60</x:v>
      </x:c>
      <x:c r="L80" s="22" t="str">
        <x:v>HALEXISTAR</x:v>
      </x:c>
      <x:c r="M80" s="28" t="str"/>
      <x:c r="N80" s="28" t="str">
        <x:f>"175"</x:f>
        <x:v>175</x:v>
      </x:c>
      <x:c r="O80" s="27" t="str"/>
      <x:c r="P80" s="27" t="str"/>
    </x:row>
    <x:row r="81">
      <x:c r="A81" s="28" t="str">
        <x:f>"DUP-025"</x:f>
        <x:v>DUP-025</x:v>
      </x:c>
      <x:c r="B81" s="22" t="str">
        <x:v>CIPROFLOXACINO</x:v>
      </x:c>
      <x:c r="C81" s="22" t="str">
        <x:v>2MG 100ML 2MG 100ML CAIXA CX 60 CX CONTEUDO60 FATOR60</x:v>
      </x:c>
      <x:c r="D81" s="22" t="n">
        <x:v>2</x:v>
      </x:c>
      <x:c r="E81" s="22" t="str">
        <x:v>ALTO</x:v>
      </x:c>
      <x:c r="F81" s="22" t="str">
        <x:v>Mesma especificação; decidir se marca/fabricante separa o SKU</x:v>
      </x:c>
      <x:c r="G81" s="28" t="str">
        <x:f>"C2C0009"</x:f>
        <x:v>C2C0009</x:v>
      </x:c>
      <x:c r="H81" s="22" t="str">
        <x:v>CIPROFLOXACINO 2MG/100ML CX/60 - ISOFARMA</x:v>
      </x:c>
      <x:c r="I81" s="22" t="str">
        <x:v>2MG/100ML | 2MG | 100ML</x:v>
      </x:c>
      <x:c r="J81" s="22" t="str"/>
      <x:c r="K81" s="22" t="str">
        <x:v>CX/60 | CX | CONTEUDO60 | FATOR60</x:v>
      </x:c>
      <x:c r="L81" s="22" t="str">
        <x:v>ISOFARMA</x:v>
      </x:c>
      <x:c r="M81" s="28" t="str">
        <x:f>"GTIN: 7897947708754"</x:f>
        <x:v>GTIN: 7897947708754</x:v>
      </x:c>
      <x:c r="N81" s="28" t="str">
        <x:f>"178"</x:f>
        <x:v>178</x:v>
      </x:c>
      <x:c r="O81" s="27" t="str"/>
      <x:c r="P81" s="27" t="str"/>
    </x:row>
    <x:row r="82">
      <x:c r="A82" s="28" t="str">
        <x:f>"DUP-026"</x:f>
        <x:v>DUP-026</x:v>
      </x:c>
      <x:c r="B82" s="22" t="str">
        <x:v>CITRATO FENTANILA</x:v>
      </x:c>
      <x:c r="C82" s="22" t="str">
        <x:v>0 05MG ML 0 05MG 2ML CAIXA AP CX 25 CX CONTEUDO25 FATOR25</x:v>
      </x:c>
      <x:c r="D82" s="22" t="n">
        <x:v>2</x:v>
      </x:c>
      <x:c r="E82" s="22" t="str">
        <x:v>ALTO</x:v>
      </x:c>
      <x:c r="F82" s="22" t="str">
        <x:v>Mesma especificação; decidir se marca/fabricante separa o SKU</x:v>
      </x:c>
      <x:c r="G82" s="28" t="str">
        <x:f>"CF10001"</x:f>
        <x:v>CF10001</x:v>
      </x:c>
      <x:c r="H82" s="22" t="str">
        <x:v>CITRATO DE FENTANILA 0,05MG/ML 2ML AP - CX/25 - CRISTÁLIA</x:v>
      </x:c>
      <x:c r="I82" s="22" t="str">
        <x:v>0,05MG/ML | 0,05MG | 2ML</x:v>
      </x:c>
      <x:c r="J82" s="22" t="str"/>
      <x:c r="K82" s="22" t="str">
        <x:v>AP | CX/25 | CX | CONTEUDO25 | FATOR25</x:v>
      </x:c>
      <x:c r="L82" s="22" t="str">
        <x:v>CRISTÁLIA</x:v>
      </x:c>
      <x:c r="M82" s="28" t="str">
        <x:f>"GTIN: 7896676437850"</x:f>
        <x:v>GTIN: 7896676437850</x:v>
      </x:c>
      <x:c r="N82" s="28" t="str">
        <x:f>"179"</x:f>
        <x:v>179</x:v>
      </x:c>
      <x:c r="O82" s="27" t="str"/>
      <x:c r="P82" s="27" t="str"/>
    </x:row>
    <x:row r="83">
      <x:c r="A83" s="28" t="str">
        <x:f>"DUP-026"</x:f>
        <x:v>DUP-026</x:v>
      </x:c>
      <x:c r="B83" s="22" t="str">
        <x:v>CITRATO FENTANILA</x:v>
      </x:c>
      <x:c r="C83" s="22" t="str">
        <x:v>0 05MG ML 0 05MG 2ML CAIXA AP CX 25 CX CONTEUDO25 FATOR25</x:v>
      </x:c>
      <x:c r="D83" s="22" t="n">
        <x:v>2</x:v>
      </x:c>
      <x:c r="E83" s="22" t="str">
        <x:v>ALTO</x:v>
      </x:c>
      <x:c r="F83" s="22" t="str">
        <x:v>Mesma especificação; decidir se marca/fabricante separa o SKU</x:v>
      </x:c>
      <x:c r="G83" s="28" t="str">
        <x:f>"CF10002"</x:f>
        <x:v>CF10002</x:v>
      </x:c>
      <x:c r="H83" s="22" t="str">
        <x:v>CITRATO DE FENTANILA 0,05MG/ML 2ML AP CX/25 - HIPOLABOR</x:v>
      </x:c>
      <x:c r="I83" s="22" t="str">
        <x:v>0,05MG/ML | 0,05MG | 2ML</x:v>
      </x:c>
      <x:c r="J83" s="22" t="str"/>
      <x:c r="K83" s="22" t="str">
        <x:v>AP | CX/25 | CX | CONTEUDO25 | FATOR25</x:v>
      </x:c>
      <x:c r="L83" s="22" t="str">
        <x:v>HIPOLABOR</x:v>
      </x:c>
      <x:c r="M83" s="28" t="str">
        <x:f>"GTIN: 7896676437850"</x:f>
        <x:v>GTIN: 7896676437850</x:v>
      </x:c>
      <x:c r="N83" s="28" t="str">
        <x:f>"180 | 181"</x:f>
        <x:v>180 | 181</x:v>
      </x:c>
      <x:c r="O83" s="27" t="str"/>
      <x:c r="P83" s="27" t="str"/>
    </x:row>
    <x:row r="84">
      <x:c r="A84" s="28" t="str">
        <x:f>"DUP-027"</x:f>
        <x:v>DUP-027</x:v>
      </x:c>
      <x:c r="B84" s="22" t="str">
        <x:v>CLORETO SODIO</x:v>
      </x:c>
      <x:c r="C84" s="22" t="str">
        <x:v>500ML CAIXA CX 50 CX CONTEUDO50 FATOR50</x:v>
      </x:c>
      <x:c r="D84" s="22" t="n">
        <x:v>2</x:v>
      </x:c>
      <x:c r="E84" s="22" t="str">
        <x:v>ALTO</x:v>
      </x:c>
      <x:c r="F84" s="22" t="str">
        <x:v>Mesma especificação; decidir se marca/fabricante separa o SKU</x:v>
      </x:c>
      <x:c r="G84" s="28" t="str">
        <x:f>"CS00006"</x:f>
        <x:v>CS00006</x:v>
      </x:c>
      <x:c r="H84" s="22" t="str">
        <x:v>CLORETO DE SODIO 0,9% 500ML - CX/50 - ACULIFE</x:v>
      </x:c>
      <x:c r="I84" s="22" t="str">
        <x:v>500ML</x:v>
      </x:c>
      <x:c r="J84" s="22" t="str"/>
      <x:c r="K84" s="22" t="str">
        <x:v>CX/50 | CX | CONTEUDO50 | FATOR50</x:v>
      </x:c>
      <x:c r="L84" s="22" t="str">
        <x:v>ACULIFE</x:v>
      </x:c>
      <x:c r="M84" s="28" t="str"/>
      <x:c r="N84" s="28" t="str">
        <x:f>"225"</x:f>
        <x:v>225</x:v>
      </x:c>
      <x:c r="O84" s="27" t="str"/>
      <x:c r="P84" s="27" t="str"/>
    </x:row>
    <x:row r="85">
      <x:c r="A85" s="28" t="str">
        <x:f>"DUP-027"</x:f>
        <x:v>DUP-027</x:v>
      </x:c>
      <x:c r="B85" s="22" t="str">
        <x:v>CLORETO SODIO</x:v>
      </x:c>
      <x:c r="C85" s="22" t="str">
        <x:v>500ML CAIXA CX 50 CX CONTEUDO50 FATOR50</x:v>
      </x:c>
      <x:c r="D85" s="22" t="n">
        <x:v>2</x:v>
      </x:c>
      <x:c r="E85" s="22" t="str">
        <x:v>ALTO</x:v>
      </x:c>
      <x:c r="F85" s="22" t="str">
        <x:v>Mesma especificação; decidir se marca/fabricante separa o SKU</x:v>
      </x:c>
      <x:c r="G85" s="28" t="str">
        <x:f>"CS00007"</x:f>
        <x:v>CS00007</x:v>
      </x:c>
      <x:c r="H85" s="22" t="str">
        <x:v>CLORETO DE SODIO 0,9% 500ML - CX/50 - FRESENIUS</x:v>
      </x:c>
      <x:c r="I85" s="22" t="str">
        <x:v>500ML</x:v>
      </x:c>
      <x:c r="J85" s="22" t="str"/>
      <x:c r="K85" s="22" t="str">
        <x:v>CX/50 | CX | CONTEUDO50 | FATOR50</x:v>
      </x:c>
      <x:c r="L85" s="22" t="str">
        <x:v>FRESENIUS</x:v>
      </x:c>
      <x:c r="M85" s="28" t="str">
        <x:f>"GTIN: 7898179363896"</x:f>
        <x:v>GTIN: 7898179363896</x:v>
      </x:c>
      <x:c r="N85" s="28" t="str">
        <x:f>"231"</x:f>
        <x:v>231</x:v>
      </x:c>
      <x:c r="O85" s="27" t="str"/>
      <x:c r="P85" s="27" t="str"/>
    </x:row>
    <x:row r="86">
      <x:c r="A86" s="28" t="str">
        <x:f>"DUP-028"</x:f>
        <x:v>DUP-028</x:v>
      </x:c>
      <x:c r="B86" s="22" t="str">
        <x:v>CLORIDRATO BUPIVACAINA</x:v>
      </x:c>
      <x:c r="C86" s="22" t="str">
        <x:v>5MG ML 5MG 20ML CAIXA CX 25 CX CONTEUDO25 FATOR25</x:v>
      </x:c>
      <x:c r="D86" s="22" t="n">
        <x:v>2</x:v>
      </x:c>
      <x:c r="E86" s="22" t="str">
        <x:v>BAIXO</x:v>
      </x:c>
      <x:c r="F86" s="22" t="str">
        <x:v>Mesma especificação; decidir se marca/fabricante separa o SKU</x:v>
      </x:c>
      <x:c r="G86" s="28" t="str">
        <x:f>"CB50003"</x:f>
        <x:v>CB50003</x:v>
      </x:c>
      <x:c r="H86" s="22" t="str">
        <x:v>CLORIDRATO DE BUPIVACAINA 5MG/ML 20ML - CX/25 - HIPOLABOR</x:v>
      </x:c>
      <x:c r="I86" s="22" t="str">
        <x:v>5MG/ML | 5MG | 20ML</x:v>
      </x:c>
      <x:c r="J86" s="22" t="str"/>
      <x:c r="K86" s="22" t="str">
        <x:v>CX/25 | CX | CONTEUDO25 | FATOR25</x:v>
      </x:c>
      <x:c r="L86" s="22" t="str">
        <x:v>HIPOLABOR</x:v>
      </x:c>
      <x:c r="M86" s="28" t="str">
        <x:f>"GTIN: 7898123908982"</x:f>
        <x:v>GTIN: 7898123908982</x:v>
      </x:c>
      <x:c r="N86" s="28" t="str">
        <x:f>"252"</x:f>
        <x:v>252</x:v>
      </x:c>
      <x:c r="O86" s="27" t="str"/>
      <x:c r="P86" s="27" t="str"/>
    </x:row>
    <x:row r="87">
      <x:c r="A87" s="28" t="str">
        <x:f>"DUP-028"</x:f>
        <x:v>DUP-028</x:v>
      </x:c>
      <x:c r="B87" s="22" t="str">
        <x:v>CLORIDRATO BUPIVACAINA</x:v>
      </x:c>
      <x:c r="C87" s="22" t="str">
        <x:v>5MG ML 5MG 20ML CAIXA CX 25 CX CONTEUDO25 FATOR25</x:v>
      </x:c>
      <x:c r="D87" s="22" t="n">
        <x:v>2</x:v>
      </x:c>
      <x:c r="E87" s="22" t="str">
        <x:v>BAIXO</x:v>
      </x:c>
      <x:c r="F87" s="22" t="str">
        <x:v>Mesma especificação; decidir se marca/fabricante separa o SKU</x:v>
      </x:c>
      <x:c r="G87" s="28" t="str">
        <x:f>"CB50002"</x:f>
        <x:v>CB50002</x:v>
      </x:c>
      <x:c r="H87" s="22" t="str">
        <x:v>CLORIDRATO DE BUPIVACAINA 5MG/ML 20ML - CX/25 - HYPOFARMA</x:v>
      </x:c>
      <x:c r="I87" s="22" t="str">
        <x:v>5MG/ML | 5MG | 20ML</x:v>
      </x:c>
      <x:c r="J87" s="22" t="str"/>
      <x:c r="K87" s="22" t="str">
        <x:v>CX/25 | CX | CONTEUDO25 | FATOR25</x:v>
      </x:c>
      <x:c r="L87" s="22" t="str">
        <x:v>HYPOFARMA</x:v>
      </x:c>
      <x:c r="M87" s="28" t="str">
        <x:f>"GTIN: 7898123908982"</x:f>
        <x:v>GTIN: 7898123908982</x:v>
      </x:c>
      <x:c r="N87" s="28" t="str">
        <x:f>"253"</x:f>
        <x:v>253</x:v>
      </x:c>
      <x:c r="O87" s="27" t="str"/>
      <x:c r="P87" s="27" t="str"/>
    </x:row>
    <x:row r="88">
      <x:c r="A88" s="28" t="str">
        <x:f>"DUP-029"</x:f>
        <x:v>DUP-029</x:v>
      </x:c>
      <x:c r="B88" s="22" t="str">
        <x:v>CLORIDRATO CEFEPIMA</x:v>
      </x:c>
      <x:c r="C88" s="22" t="str">
        <x:v>1G 1G CAIXA CX 50 CX CONTEUDO50 FATOR50</x:v>
      </x:c>
      <x:c r="D88" s="22" t="n">
        <x:v>2</x:v>
      </x:c>
      <x:c r="E88" s="22" t="str">
        <x:v>BAIXO</x:v>
      </x:c>
      <x:c r="F88" s="22" t="str">
        <x:v>Mesma especificação; decidir se marca/fabricante separa o SKU</x:v>
      </x:c>
      <x:c r="G88" s="28" t="str">
        <x:f>"CC10002"</x:f>
        <x:v>CC10002</x:v>
      </x:c>
      <x:c r="H88" s="22" t="str">
        <x:v>CLORIDRATO DE CEFEPIMA 1G - CX/50 - EUGIA</x:v>
      </x:c>
      <x:c r="I88" s="22" t="str">
        <x:v>1G</x:v>
      </x:c>
      <x:c r="J88" s="22" t="str">
        <x:v>1G</x:v>
      </x:c>
      <x:c r="K88" s="22" t="str">
        <x:v>CX/50 | CX | CONTEUDO50 | FATOR50</x:v>
      </x:c>
      <x:c r="L88" s="22" t="str">
        <x:v>EUGIA</x:v>
      </x:c>
      <x:c r="M88" s="28" t="str">
        <x:f>"GTIN: 7896112196129"</x:f>
        <x:v>GTIN: 7896112196129</x:v>
      </x:c>
      <x:c r="N88" s="28" t="str">
        <x:f>"254"</x:f>
        <x:v>254</x:v>
      </x:c>
      <x:c r="O88" s="27" t="str"/>
      <x:c r="P88" s="27" t="str"/>
    </x:row>
    <x:row r="89">
      <x:c r="A89" s="28" t="str">
        <x:f>"DUP-029"</x:f>
        <x:v>DUP-029</x:v>
      </x:c>
      <x:c r="B89" s="22" t="str">
        <x:v>CLORIDRATO CEFEPIMA</x:v>
      </x:c>
      <x:c r="C89" s="22" t="str">
        <x:v>1G 1G CAIXA CX 50 CX CONTEUDO50 FATOR50</x:v>
      </x:c>
      <x:c r="D89" s="22" t="n">
        <x:v>2</x:v>
      </x:c>
      <x:c r="E89" s="22" t="str">
        <x:v>BAIXO</x:v>
      </x:c>
      <x:c r="F89" s="22" t="str">
        <x:v>Mesma especificação; decidir se marca/fabricante separa o SKU</x:v>
      </x:c>
      <x:c r="G89" s="28" t="str">
        <x:f>"CC10018"</x:f>
        <x:v>CC10018</x:v>
      </x:c>
      <x:c r="H89" s="22" t="str">
        <x:v>CLORIDRATO DE CEFEPIMA 1G - CX/50 - TEUTO</x:v>
      </x:c>
      <x:c r="I89" s="22" t="str">
        <x:v>1G</x:v>
      </x:c>
      <x:c r="J89" s="22" t="str">
        <x:v>1G</x:v>
      </x:c>
      <x:c r="K89" s="22" t="str">
        <x:v>CX/50 | CX | CONTEUDO50 | FATOR50</x:v>
      </x:c>
      <x:c r="L89" s="22" t="str">
        <x:v>TEUTO</x:v>
      </x:c>
      <x:c r="M89" s="28" t="str">
        <x:f>"GTIN: 7896112196129"</x:f>
        <x:v>GTIN: 7896112196129</x:v>
      </x:c>
      <x:c r="N89" s="28" t="str">
        <x:f>"255 | 256 | 257 | 258"</x:f>
        <x:v>255 | 256 | 257 | 258</x:v>
      </x:c>
      <x:c r="O89" s="27" t="str"/>
      <x:c r="P89" s="27" t="str"/>
    </x:row>
    <x:row r="90">
      <x:c r="A90" s="28" t="str">
        <x:f>"DUP-030"</x:f>
        <x:v>DUP-030</x:v>
      </x:c>
      <x:c r="B90" s="22" t="str">
        <x:v>CLORIDRATO REMIFENTANILA</x:v>
      </x:c>
      <x:c r="C90" s="22" t="str">
        <x:v>2MG CAIXA CX 5 CX CONTEUDO5 FATOR5</x:v>
      </x:c>
      <x:c r="D90" s="22" t="n">
        <x:v>2</x:v>
      </x:c>
      <x:c r="E90" s="22" t="str">
        <x:v>BAIXO</x:v>
      </x:c>
      <x:c r="F90" s="22" t="str">
        <x:v>Mesma especificação; decidir se marca/fabricante separa o SKU</x:v>
      </x:c>
      <x:c r="G90" s="28" t="str">
        <x:f>"CR20006"</x:f>
        <x:v>CR20006</x:v>
      </x:c>
      <x:c r="H90" s="22" t="str">
        <x:v>CLORIDRATO DE REMIFENTANILA 2MG - CX/5 - CRISTALIA</x:v>
      </x:c>
      <x:c r="I90" s="22" t="str">
        <x:v>2MG</x:v>
      </x:c>
      <x:c r="J90" s="22" t="str"/>
      <x:c r="K90" s="22" t="str">
        <x:v>CX/5 | CX | CONTEUDO5 | FATOR5</x:v>
      </x:c>
      <x:c r="L90" s="22" t="str">
        <x:v>CRISTALIA</x:v>
      </x:c>
      <x:c r="M90" s="28" t="str">
        <x:f>"GTIN: 7896676416251"</x:f>
        <x:v>GTIN: 7896676416251</x:v>
      </x:c>
      <x:c r="N90" s="28" t="str">
        <x:f>"305 | 306 | 307 | 308 | 309 | 310 | 311 | 312 | 313 | 314 | 315"</x:f>
        <x:v>305 | 306 | 307 | 308 | 309 | 310 | 311 | 312 | 313 | 314 | 315</x:v>
      </x:c>
      <x:c r="O90" s="27" t="str"/>
      <x:c r="P90" s="27" t="str"/>
    </x:row>
    <x:row r="91">
      <x:c r="A91" s="28" t="str">
        <x:f>"DUP-030"</x:f>
        <x:v>DUP-030</x:v>
      </x:c>
      <x:c r="B91" s="22" t="str">
        <x:v>CLORIDRATO REMIFENTANILA</x:v>
      </x:c>
      <x:c r="C91" s="22" t="str">
        <x:v>2MG CAIXA CX 5 CX CONTEUDO5 FATOR5</x:v>
      </x:c>
      <x:c r="D91" s="22" t="n">
        <x:v>2</x:v>
      </x:c>
      <x:c r="E91" s="22" t="str">
        <x:v>BAIXO</x:v>
      </x:c>
      <x:c r="F91" s="22" t="str">
        <x:v>Mesma especificação; decidir se marca/fabricante separa o SKU</x:v>
      </x:c>
      <x:c r="G91" s="28" t="str">
        <x:f>"CR20010"</x:f>
        <x:v>CR20010</x:v>
      </x:c>
      <x:c r="H91" s="22" t="str">
        <x:v>CLORIDRATO DE REMIFENTANILA 2MG - CX/5 - UNIÃO QUÍMICA</x:v>
      </x:c>
      <x:c r="I91" s="22" t="str">
        <x:v>2MG</x:v>
      </x:c>
      <x:c r="J91" s="22" t="str"/>
      <x:c r="K91" s="22" t="str">
        <x:v>CX/5 | CX | CONTEUDO5 | FATOR5</x:v>
      </x:c>
      <x:c r="L91" s="22" t="str">
        <x:v>UNIÃO QUÍMICA</x:v>
      </x:c>
      <x:c r="M91" s="28" t="str">
        <x:f>"GTIN: 7896006217510"</x:f>
        <x:v>GTIN: 7896006217510</x:v>
      </x:c>
      <x:c r="N91" s="28" t="str">
        <x:f>"316"</x:f>
        <x:v>316</x:v>
      </x:c>
      <x:c r="O91" s="27" t="str"/>
      <x:c r="P91" s="27" t="str"/>
    </x:row>
    <x:row r="92">
      <x:c r="A92" s="28" t="str">
        <x:f>"DUP-031"</x:f>
        <x:v>DUP-031</x:v>
      </x:c>
      <x:c r="B92" s="22" t="str">
        <x:v>COMPRESSAS GAZE ESTERIL</x:v>
      </x:c>
      <x:c r="C92" s="22" t="str">
        <x:v>7 5X7 5 11FIOS OUTRA PCT 5 PCT CONTEUDO5 FATOR5</x:v>
      </x:c>
      <x:c r="D92" s="22" t="n">
        <x:v>2</x:v>
      </x:c>
      <x:c r="E92" s="22" t="str">
        <x:v>ALTO</x:v>
      </x:c>
      <x:c r="F92" s="22" t="str">
        <x:v>Mesma especificação; decidir se marca/fabricante separa o SKU</x:v>
      </x:c>
      <x:c r="G92" s="28" t="str">
        <x:f>"CG70008"</x:f>
        <x:v>CG70008</x:v>
      </x:c>
      <x:c r="H92" s="22" t="str">
        <x:v>COMPRESSAS DE GAZE 7,5 X 7,5 11 FIOS ESTERIL - PCT/5 - AMED</x:v>
      </x:c>
      <x:c r="I92" s="22" t="str"/>
      <x:c r="J92" s="22" t="str">
        <x:v>7,5X7,5 | 11FIOS</x:v>
      </x:c>
      <x:c r="K92" s="22" t="str">
        <x:v>PCT/5 | PCT | CONTEUDO5 | FATOR5</x:v>
      </x:c>
      <x:c r="L92" s="22" t="str">
        <x:v>AMED</x:v>
      </x:c>
      <x:c r="M92" s="28" t="str"/>
      <x:c r="N92" s="28" t="str">
        <x:f>"338"</x:f>
        <x:v>338</x:v>
      </x:c>
      <x:c r="O92" s="27" t="str"/>
      <x:c r="P92" s="27" t="str"/>
    </x:row>
    <x:row r="93">
      <x:c r="A93" s="28" t="str">
        <x:f>"DUP-031"</x:f>
        <x:v>DUP-031</x:v>
      </x:c>
      <x:c r="B93" s="22" t="str">
        <x:v>COMPRESSAS GAZE ESTERIL</x:v>
      </x:c>
      <x:c r="C93" s="22" t="str">
        <x:v>7 5X7 5 11FIOS OUTRA PCT 5 PCT CONTEUDO5 FATOR5</x:v>
      </x:c>
      <x:c r="D93" s="22" t="n">
        <x:v>2</x:v>
      </x:c>
      <x:c r="E93" s="22" t="str">
        <x:v>ALTO</x:v>
      </x:c>
      <x:c r="F93" s="22" t="str">
        <x:v>Mesma especificação; decidir se marca/fabricante separa o SKU</x:v>
      </x:c>
      <x:c r="G93" s="28" t="str">
        <x:f>"CG70002"</x:f>
        <x:v>CG70002</x:v>
      </x:c>
      <x:c r="H93" s="22" t="str">
        <x:v>COMPRESSAS DE GAZE 7,5 X 7,5 11 FIOS ESTERIL - PCT/5 - BELA INDUS</x:v>
      </x:c>
      <x:c r="I93" s="22" t="str"/>
      <x:c r="J93" s="22" t="str">
        <x:v>7,5X7,5 | 11FIOS</x:v>
      </x:c>
      <x:c r="K93" s="22" t="str">
        <x:v>PCT/5 | PCT | CONTEUDO5 | FATOR5</x:v>
      </x:c>
      <x:c r="L93" s="22" t="str">
        <x:v>BELA INDUS</x:v>
      </x:c>
      <x:c r="M93" s="28" t="str"/>
      <x:c r="N93" s="28" t="str">
        <x:f>"339"</x:f>
        <x:v>339</x:v>
      </x:c>
      <x:c r="O93" s="27" t="str"/>
      <x:c r="P93" s="27" t="str"/>
    </x:row>
    <x:row r="94">
      <x:c r="A94" s="28" t="str">
        <x:f>"DUP-032"</x:f>
        <x:v>DUP-032</x:v>
      </x:c>
      <x:c r="B94" s="22" t="str">
        <x:v>COMPRESSAS GAZE ESTERIL</x:v>
      </x:c>
      <x:c r="C94" s="22" t="str">
        <x:v>7 5X7 5 13FIOS OUTRA PCT 10 PCT CONTEUDO10 FATOR10</x:v>
      </x:c>
      <x:c r="D94" s="22" t="n">
        <x:v>2</x:v>
      </x:c>
      <x:c r="E94" s="22" t="str">
        <x:v>ALTO</x:v>
      </x:c>
      <x:c r="F94" s="22" t="str">
        <x:v>Mesma especificação; decidir se marca/fabricante separa o SKU</x:v>
      </x:c>
      <x:c r="G94" s="28" t="str">
        <x:f>"CG70009"</x:f>
        <x:v>CG70009</x:v>
      </x:c>
      <x:c r="H94" s="22" t="str">
        <x:v>COMPRESSAS DE GAZE 7,5 X 7,5 13 FIOS ESTERIL - PCT/10 - FORTCLEAN</x:v>
      </x:c>
      <x:c r="I94" s="22" t="str"/>
      <x:c r="J94" s="22" t="str">
        <x:v>7,5X7,5 | 13FIOS</x:v>
      </x:c>
      <x:c r="K94" s="22" t="str">
        <x:v>PCT/10 | PCT | CONTEUDO10 | FATOR10</x:v>
      </x:c>
      <x:c r="L94" s="22" t="str">
        <x:v>FORTCLEAN</x:v>
      </x:c>
      <x:c r="M94" s="28" t="str">
        <x:f>"GTIN: 7898125712174"</x:f>
        <x:v>GTIN: 7898125712174</x:v>
      </x:c>
      <x:c r="N94" s="28" t="str">
        <x:f>"342"</x:f>
        <x:v>342</x:v>
      </x:c>
      <x:c r="O94" s="27" t="str"/>
      <x:c r="P94" s="27" t="str"/>
    </x:row>
    <x:row r="95">
      <x:c r="A95" s="28" t="str">
        <x:f>"DUP-032"</x:f>
        <x:v>DUP-032</x:v>
      </x:c>
      <x:c r="B95" s="22" t="str">
        <x:v>COMPRESSAS GAZE ESTERIL</x:v>
      </x:c>
      <x:c r="C95" s="22" t="str">
        <x:v>7 5X7 5 13FIOS OUTRA PCT 10 PCT CONTEUDO10 FATOR10</x:v>
      </x:c>
      <x:c r="D95" s="22" t="n">
        <x:v>2</x:v>
      </x:c>
      <x:c r="E95" s="22" t="str">
        <x:v>ALTO</x:v>
      </x:c>
      <x:c r="F95" s="22" t="str">
        <x:v>Mesma especificação; decidir se marca/fabricante separa o SKU</x:v>
      </x:c>
      <x:c r="G95" s="28" t="str">
        <x:f>"CG70001"</x:f>
        <x:v>CG70001</x:v>
      </x:c>
      <x:c r="H95" s="22" t="str">
        <x:v>COMPRESSAS DE GAZE 7,5 X 7,5 13 FIOS ESTERIL - PCT/10- AMED</x:v>
      </x:c>
      <x:c r="I95" s="22" t="str"/>
      <x:c r="J95" s="22" t="str">
        <x:v>7,5X7,5 | 13FIOS</x:v>
      </x:c>
      <x:c r="K95" s="22" t="str">
        <x:v>PCT/10 | PCT | CONTEUDO10 | FATOR10</x:v>
      </x:c>
      <x:c r="L95" s="22" t="str">
        <x:v>AMED</x:v>
      </x:c>
      <x:c r="M95" s="28" t="str"/>
      <x:c r="N95" s="28" t="str">
        <x:f>"343"</x:f>
        <x:v>343</x:v>
      </x:c>
      <x:c r="O95" s="27" t="str"/>
      <x:c r="P95" s="27" t="str"/>
    </x:row>
    <x:row r="96">
      <x:c r="A96" s="28" t="str">
        <x:f>"DUP-033"</x:f>
        <x:v>DUP-033</x:v>
      </x:c>
      <x:c r="B96" s="22" t="str">
        <x:v>CONTRASTE NAO IONICO</x:v>
      </x:c>
      <x:c r="C96" s="22" t="str">
        <x:v>300MG 100ML 300MG 100ML CAIXA CX CONTEUDO1</x:v>
      </x:c>
      <x:c r="D96" s="22" t="n">
        <x:v>2</x:v>
      </x:c>
      <x:c r="E96" s="22" t="str">
        <x:v>ALTO</x:v>
      </x:c>
      <x:c r="F96" s="22" t="str">
        <x:v>Mesma especificação; decidir se marca/fabricante separa o SKU</x:v>
      </x:c>
      <x:c r="G96" s="28" t="str">
        <x:f>"CNI0039"</x:f>
        <x:v>CNI0039</x:v>
      </x:c>
      <x:c r="H96" s="22" t="str">
        <x:v>CONTRASTE NÃO IONICO 300MG/100ML - GE HEALTHCARE (OMNIPAQUE)</x:v>
      </x:c>
      <x:c r="I96" s="22" t="str">
        <x:v>300MG/100ML | 300MG | 100ML</x:v>
      </x:c>
      <x:c r="J96" s="22" t="str"/>
      <x:c r="K96" s="22" t="str">
        <x:v>CX | CONTEUDO1</x:v>
      </x:c>
      <x:c r="L96" s="22" t="str">
        <x:v>GE HEALTHCARE</x:v>
      </x:c>
      <x:c r="M96" s="28" t="str">
        <x:f>"GTIN: 7898946550054"</x:f>
        <x:v>GTIN: 7898946550054</x:v>
      </x:c>
      <x:c r="N96" s="28" t="str">
        <x:f>"352"</x:f>
        <x:v>352</x:v>
      </x:c>
      <x:c r="O96" s="27" t="str"/>
      <x:c r="P96" s="27" t="str"/>
    </x:row>
    <x:row r="97">
      <x:c r="A97" s="28" t="str">
        <x:f>"DUP-033"</x:f>
        <x:v>DUP-033</x:v>
      </x:c>
      <x:c r="B97" s="22" t="str">
        <x:v>CONTRASTE NAO IONICO</x:v>
      </x:c>
      <x:c r="C97" s="22" t="str">
        <x:v>300MG 100ML 300MG 100ML CAIXA CX CONTEUDO1</x:v>
      </x:c>
      <x:c r="D97" s="22" t="n">
        <x:v>2</x:v>
      </x:c>
      <x:c r="E97" s="22" t="str">
        <x:v>ALTO</x:v>
      </x:c>
      <x:c r="F97" s="22" t="str">
        <x:v>Mesma especificação; decidir se marca/fabricante separa o SKU</x:v>
      </x:c>
      <x:c r="G97" s="28" t="str">
        <x:f>"CNI0058"</x:f>
        <x:v>CNI0058</x:v>
      </x:c>
      <x:c r="H97" s="22" t="str">
        <x:v>CONTRASTE NÃO IONICO 300MG/100ML - OMNIPAQUE</x:v>
      </x:c>
      <x:c r="I97" s="22" t="str">
        <x:v>300MG/100ML | 300MG | 100ML</x:v>
      </x:c>
      <x:c r="J97" s="22" t="str"/>
      <x:c r="K97" s="22" t="str">
        <x:v>CX | CONTEUDO1</x:v>
      </x:c>
      <x:c r="L97" s="22" t="str">
        <x:v>OMNIPAQUE</x:v>
      </x:c>
      <x:c r="M97" s="28" t="str">
        <x:f>"GTIN: 7897322703329"</x:f>
        <x:v>GTIN: 7897322703329</x:v>
      </x:c>
      <x:c r="N97" s="28" t="str">
        <x:f>"351"</x:f>
        <x:v>351</x:v>
      </x:c>
      <x:c r="O97" s="27" t="str"/>
      <x:c r="P97" s="27" t="str"/>
    </x:row>
    <x:row r="98">
      <x:c r="A98" s="28" t="str">
        <x:f>"DUP-034"</x:f>
        <x:v>DUP-034</x:v>
      </x:c>
      <x:c r="B98" s="22" t="str">
        <x:v>CONTRASTE NAO IONICO</x:v>
      </x:c>
      <x:c r="C98" s="22" t="str">
        <x:v>100ML FRASCO FRASCO</x:v>
      </x:c>
      <x:c r="D98" s="22" t="n">
        <x:v>2</x:v>
      </x:c>
      <x:c r="E98" s="22" t="str">
        <x:v>ALTO</x:v>
      </x:c>
      <x:c r="F98" s="22" t="str">
        <x:v>Candidato forte a consolidação, validar antes</x:v>
      </x:c>
      <x:c r="G98" s="28" t="str">
        <x:f>"CNI0004"</x:f>
        <x:v>CNI0004</x:v>
      </x:c>
      <x:c r="H98" s="22" t="str">
        <x:v>CONTRASTE NÃO IONICO HENETIX 300/100ML</x:v>
      </x:c>
      <x:c r="I98" s="22" t="str">
        <x:v>100ML</x:v>
      </x:c>
      <x:c r="J98" s="22" t="str"/>
      <x:c r="K98" s="22" t="str">
        <x:v>FRASCO</x:v>
      </x:c>
      <x:c r="L98" s="22" t="str">
        <x:v>HENETIX</x:v>
      </x:c>
      <x:c r="M98" s="28" t="str">
        <x:f>"GTIN: 7897854900838"</x:f>
        <x:v>GTIN: 7897854900838</x:v>
      </x:c>
      <x:c r="N98" s="28" t="str">
        <x:f>"354 | 355 | 356"</x:f>
        <x:v>354 | 355 | 356</x:v>
      </x:c>
      <x:c r="O98" s="27" t="str"/>
      <x:c r="P98" s="27" t="str"/>
    </x:row>
    <x:row r="99">
      <x:c r="A99" s="28" t="str">
        <x:f>"DUP-034"</x:f>
        <x:v>DUP-034</x:v>
      </x:c>
      <x:c r="B99" s="22" t="str">
        <x:v>CONTRASTE NAO IONICO</x:v>
      </x:c>
      <x:c r="C99" s="22" t="str">
        <x:v>100ML FRASCO FRASCO</x:v>
      </x:c>
      <x:c r="D99" s="22" t="n">
        <x:v>2</x:v>
      </x:c>
      <x:c r="E99" s="22" t="str">
        <x:v>ALTO</x:v>
      </x:c>
      <x:c r="F99" s="22" t="str">
        <x:v>Candidato forte a consolidação, validar antes</x:v>
      </x:c>
      <x:c r="G99" s="28" t="str">
        <x:f>"CNI0018"</x:f>
        <x:v>CNI0018</x:v>
      </x:c>
      <x:c r="H99" s="22" t="str">
        <x:v>CONTRASTE NÃO IONICO HENETIX 350/100ML</x:v>
      </x:c>
      <x:c r="I99" s="22" t="str">
        <x:v>100ML</x:v>
      </x:c>
      <x:c r="J99" s="22" t="str"/>
      <x:c r="K99" s="22" t="str">
        <x:v>FRASCO</x:v>
      </x:c>
      <x:c r="L99" s="22" t="str">
        <x:v>HENETIX</x:v>
      </x:c>
      <x:c r="M99" s="28" t="str">
        <x:f>"GTIN: 7897854900838"</x:f>
        <x:v>GTIN: 7897854900838</x:v>
      </x:c>
      <x:c r="N99" s="28" t="str">
        <x:f>"357"</x:f>
        <x:v>357</x:v>
      </x:c>
      <x:c r="O99" s="27" t="str"/>
      <x:c r="P99" s="27" t="str"/>
    </x:row>
    <x:row r="100">
      <x:c r="A100" s="28" t="str">
        <x:f>"DUP-035"</x:f>
        <x:v>DUP-035</x:v>
      </x:c>
      <x:c r="B100" s="22" t="str">
        <x:v>DIPIRONA SODICA</x:v>
      </x:c>
      <x:c r="C100" s="22" t="str">
        <x:v>500MG ML 500MG 2ML UNIDADE AP CX 100 UN</x:v>
      </x:c>
      <x:c r="D100" s="22" t="n">
        <x:v>2</x:v>
      </x:c>
      <x:c r="E100" s="22" t="str">
        <x:v>BAIXO</x:v>
      </x:c>
      <x:c r="F100" s="22" t="str">
        <x:v>Mesma especificação; decidir se marca/fabricante separa o SKU</x:v>
      </x:c>
      <x:c r="G100" s="28" t="str">
        <x:f>"DS50003"</x:f>
        <x:v>DS50003</x:v>
      </x:c>
      <x:c r="H100" s="22" t="str">
        <x:v>DIPIRONA SÓDICA 500MG/ML 2ML AP CX/100 - FARMACE</x:v>
      </x:c>
      <x:c r="I100" s="22" t="str">
        <x:v>500MG/ML | 500MG | 2ML</x:v>
      </x:c>
      <x:c r="J100" s="22" t="str"/>
      <x:c r="K100" s="22" t="str">
        <x:v>AP | CX/100 | UN</x:v>
      </x:c>
      <x:c r="L100" s="22" t="str">
        <x:v>FARMACE</x:v>
      </x:c>
      <x:c r="M100" s="28" t="str">
        <x:f>"GTIN: 7898470683808"</x:f>
        <x:v>GTIN: 7898470683808</x:v>
      </x:c>
      <x:c r="N100" s="28" t="str">
        <x:f>"387 | 388 | 389 | 390"</x:f>
        <x:v>387 | 388 | 389 | 390</x:v>
      </x:c>
      <x:c r="O100" s="27" t="str"/>
      <x:c r="P100" s="27" t="str"/>
    </x:row>
    <x:row r="101">
      <x:c r="A101" s="28" t="str">
        <x:f>"DUP-035"</x:f>
        <x:v>DUP-035</x:v>
      </x:c>
      <x:c r="B101" s="22" t="str">
        <x:v>DIPIRONA SODICA</x:v>
      </x:c>
      <x:c r="C101" s="22" t="str">
        <x:v>500MG ML 500MG 2ML UNIDADE AP CX 100 UN</x:v>
      </x:c>
      <x:c r="D101" s="22" t="n">
        <x:v>2</x:v>
      </x:c>
      <x:c r="E101" s="22" t="str">
        <x:v>BAIXO</x:v>
      </x:c>
      <x:c r="F101" s="22" t="str">
        <x:v>Mesma especificação; decidir se marca/fabricante separa o SKU</x:v>
      </x:c>
      <x:c r="G101" s="28" t="str">
        <x:f>"DS10001"</x:f>
        <x:v>DS10001</x:v>
      </x:c>
      <x:c r="H101" s="22" t="str">
        <x:v>DIPIRONA SÓDICA 500MG/ML 2ML AP CX/100 - SANTISA</x:v>
      </x:c>
      <x:c r="I101" s="22" t="str">
        <x:v>500MG/ML | 500MG | 2ML</x:v>
      </x:c>
      <x:c r="J101" s="22" t="str"/>
      <x:c r="K101" s="22" t="str">
        <x:v>AP | CX/100 | UN</x:v>
      </x:c>
      <x:c r="L101" s="22" t="str">
        <x:v>SANTISA</x:v>
      </x:c>
      <x:c r="M101" s="28" t="str">
        <x:f>"GTIN: 7898470683808"</x:f>
        <x:v>GTIN: 7898470683808</x:v>
      </x:c>
      <x:c r="N101" s="28" t="str">
        <x:f>"391 | 392"</x:f>
        <x:v>391 | 392</x:v>
      </x:c>
      <x:c r="O101" s="27" t="str"/>
      <x:c r="P101" s="27" t="str"/>
    </x:row>
    <x:row r="102">
      <x:c r="A102" s="28" t="str">
        <x:f>"DUP-036"</x:f>
        <x:v>DUP-036</x:v>
      </x:c>
      <x:c r="B102" s="22" t="str">
        <x:v>ENOXAPARINA</x:v>
      </x:c>
      <x:c r="C102" s="22" t="str">
        <x:v>40MG CAIXA CX 10 CX CONTEUDO10 FATOR10</x:v>
      </x:c>
      <x:c r="D102" s="22" t="n">
        <x:v>2</x:v>
      </x:c>
      <x:c r="E102" s="22" t="str">
        <x:v>ALTO</x:v>
      </x:c>
      <x:c r="F102" s="22" t="str">
        <x:v>Mesma especificação; decidir se marca/fabricante separa o SKU</x:v>
      </x:c>
      <x:c r="G102" s="28" t="str">
        <x:f>"E4-0008"</x:f>
        <x:v>E4-0008</x:v>
      </x:c>
      <x:c r="H102" s="22" t="str">
        <x:v>ENOXAPARINA 40MG - CX/10 - CRISTÁLIA</x:v>
      </x:c>
      <x:c r="I102" s="22" t="str">
        <x:v>40MG</x:v>
      </x:c>
      <x:c r="J102" s="22" t="str"/>
      <x:c r="K102" s="22" t="str">
        <x:v>CX/10 | CX | CONTEUDO10 | FATOR10</x:v>
      </x:c>
      <x:c r="L102" s="22" t="str">
        <x:v>CRISTÁLIA</x:v>
      </x:c>
      <x:c r="M102" s="28" t="str">
        <x:f>"GTIN: 7898560664939"</x:f>
        <x:v>GTIN: 7898560664939</x:v>
      </x:c>
      <x:c r="N102" s="28" t="str">
        <x:f>"400 | 401"</x:f>
        <x:v>400 | 401</x:v>
      </x:c>
      <x:c r="O102" s="27" t="str"/>
      <x:c r="P102" s="27" t="str"/>
    </x:row>
    <x:row r="103">
      <x:c r="A103" s="28" t="str">
        <x:f>"DUP-036"</x:f>
        <x:v>DUP-036</x:v>
      </x:c>
      <x:c r="B103" s="22" t="str">
        <x:v>ENOXAPARINA</x:v>
      </x:c>
      <x:c r="C103" s="22" t="str">
        <x:v>40MG CAIXA CX 10 CX CONTEUDO10 FATOR10</x:v>
      </x:c>
      <x:c r="D103" s="22" t="n">
        <x:v>2</x:v>
      </x:c>
      <x:c r="E103" s="22" t="str">
        <x:v>ALTO</x:v>
      </x:c>
      <x:c r="F103" s="22" t="str">
        <x:v>Mesma especificação; decidir se marca/fabricante separa o SKU</x:v>
      </x:c>
      <x:c r="G103" s="28" t="str">
        <x:f>"E4-0009"</x:f>
        <x:v>E4-0009</x:v>
      </x:c>
      <x:c r="H103" s="22" t="str">
        <x:v>ENOXAPARINA 40MG - CX/10 - VIATRIS</x:v>
      </x:c>
      <x:c r="I103" s="22" t="str">
        <x:v>40MG</x:v>
      </x:c>
      <x:c r="J103" s="22" t="str"/>
      <x:c r="K103" s="22" t="str">
        <x:v>CX/10 | CX | CONTEUDO10 | FATOR10</x:v>
      </x:c>
      <x:c r="L103" s="22" t="str">
        <x:v>VIATRIS</x:v>
      </x:c>
      <x:c r="M103" s="28" t="str">
        <x:f>"GTIN: 7898560664939"</x:f>
        <x:v>GTIN: 7898560664939</x:v>
      </x:c>
      <x:c r="N103" s="28" t="str">
        <x:f>"402 | 403 | 404 | 405 | 406 | 407 | 408"</x:f>
        <x:v>402 | 403 | 404 | 405 | 406 | 407 | 408</x:v>
      </x:c>
      <x:c r="O103" s="27" t="str"/>
      <x:c r="P103" s="27" t="str"/>
    </x:row>
    <x:row r="104">
      <x:c r="A104" s="28" t="str">
        <x:f>"DUP-037"</x:f>
        <x:v>DUP-037</x:v>
      </x:c>
      <x:c r="B104" s="22" t="str">
        <x:v>EQUIPO MACROGOTAS INJ LATERAL LUER LOCK</x:v>
      </x:c>
      <x:c r="C104" s="22" t="str">
        <x:v>OUTRA PCT 25 PCT CONTEUDO25 FATOR25</x:v>
      </x:c>
      <x:c r="D104" s="22" t="n">
        <x:v>2</x:v>
      </x:c>
      <x:c r="E104" s="22" t="str">
        <x:v>BAIXO</x:v>
      </x:c>
      <x:c r="F104" s="22" t="str">
        <x:v>Mesma especificação; decidir se marca/fabricante separa o SKU</x:v>
      </x:c>
      <x:c r="G104" s="28" t="str">
        <x:f>"EMC0006"</x:f>
        <x:v>EMC0006</x:v>
      </x:c>
      <x:c r="H104" s="22" t="str">
        <x:v>EQUIPO MACROGOTAS C/INJ LATERAL LUER LOCK - PCT/25 - LABOR IMPORT</x:v>
      </x:c>
      <x:c r="I104" s="22" t="str"/>
      <x:c r="J104" s="22" t="str"/>
      <x:c r="K104" s="22" t="str">
        <x:v>PCT/25 | PCT | CONTEUDO25 | FATOR25</x:v>
      </x:c>
      <x:c r="L104" s="22" t="str">
        <x:v>LABOR IMPORT</x:v>
      </x:c>
      <x:c r="M104" s="28" t="str"/>
      <x:c r="N104" s="28" t="str">
        <x:f>"419"</x:f>
        <x:v>419</x:v>
      </x:c>
      <x:c r="O104" s="27" t="str"/>
      <x:c r="P104" s="27" t="str"/>
    </x:row>
    <x:row r="105">
      <x:c r="A105" s="28" t="str">
        <x:f>"DUP-037"</x:f>
        <x:v>DUP-037</x:v>
      </x:c>
      <x:c r="B105" s="22" t="str">
        <x:v>EQUIPO MACROGOTAS INJ LATERAL LUER LOCK</x:v>
      </x:c>
      <x:c r="C105" s="22" t="str">
        <x:v>OUTRA PCT 25 PCT CONTEUDO25 FATOR25</x:v>
      </x:c>
      <x:c r="D105" s="22" t="n">
        <x:v>2</x:v>
      </x:c>
      <x:c r="E105" s="22" t="str">
        <x:v>BAIXO</x:v>
      </x:c>
      <x:c r="F105" s="22" t="str">
        <x:v>Mesma especificação; decidir se marca/fabricante separa o SKU</x:v>
      </x:c>
      <x:c r="G105" s="28" t="str">
        <x:f>"EMC0004"</x:f>
        <x:v>EMC0004</x:v>
      </x:c>
      <x:c r="H105" s="22" t="str">
        <x:v>EQUIPO MACROGOTAS C/INJ LATERAL LUER LOCK PCT/25 DESCARPACK</x:v>
      </x:c>
      <x:c r="I105" s="22" t="str"/>
      <x:c r="J105" s="22" t="str"/>
      <x:c r="K105" s="22" t="str">
        <x:v>PCT/25 | PCT | CONTEUDO25 | FATOR25</x:v>
      </x:c>
      <x:c r="L105" s="22" t="str">
        <x:v>DESCARPACK</x:v>
      </x:c>
      <x:c r="M105" s="28" t="str">
        <x:f>"GTIN: 7898283818633"</x:f>
        <x:v>GTIN: 7898283818633</x:v>
      </x:c>
      <x:c r="N105" s="28" t="str">
        <x:f>"420"</x:f>
        <x:v>420</x:v>
      </x:c>
      <x:c r="O105" s="27" t="str"/>
      <x:c r="P105" s="27" t="str"/>
    </x:row>
    <x:row r="106">
      <x:c r="A106" s="28" t="str">
        <x:f>"DUP-038"</x:f>
        <x:v>DUP-038</x:v>
      </x:c>
      <x:c r="B106" s="22" t="str">
        <x:v>EQUIPO MACROGOTAS INJ LATERAL LUER SLIP</x:v>
      </x:c>
      <x:c r="C106" s="22" t="str">
        <x:v>OUTRA PCT 25 PCT CONTEUDO25 FATOR25</x:v>
      </x:c>
      <x:c r="D106" s="22" t="n">
        <x:v>2</x:v>
      </x:c>
      <x:c r="E106" s="22" t="str">
        <x:v>BAIXO</x:v>
      </x:c>
      <x:c r="F106" s="22" t="str">
        <x:v>Mesma especificação; decidir se marca/fabricante separa o SKU</x:v>
      </x:c>
      <x:c r="G106" s="28" t="str">
        <x:f>"EMC0003"</x:f>
        <x:v>EMC0003</x:v>
      </x:c>
      <x:c r="H106" s="22" t="str">
        <x:v>EQUIPO MACROGOTAS C/INJ LATERAL LUER SLIP PCT/25 - MEDIX</x:v>
      </x:c>
      <x:c r="I106" s="22" t="str"/>
      <x:c r="J106" s="22" t="str"/>
      <x:c r="K106" s="22" t="str">
        <x:v>PCT/25 | PCT | CONTEUDO25 | FATOR25</x:v>
      </x:c>
      <x:c r="L106" s="22" t="str">
        <x:v>MEDIX</x:v>
      </x:c>
      <x:c r="M106" s="28" t="str">
        <x:f>"GTIN: 7898283818633"</x:f>
        <x:v>GTIN: 7898283818633</x:v>
      </x:c>
      <x:c r="N106" s="28" t="str">
        <x:f>"421"</x:f>
        <x:v>421</x:v>
      </x:c>
      <x:c r="O106" s="27" t="str"/>
      <x:c r="P106" s="27" t="str"/>
    </x:row>
    <x:row r="107">
      <x:c r="A107" s="28" t="str">
        <x:f>"DUP-038"</x:f>
        <x:v>DUP-038</x:v>
      </x:c>
      <x:c r="B107" s="22" t="str">
        <x:v>EQUIPO MACROGOTAS INJ LATERAL LUER SLIP</x:v>
      </x:c>
      <x:c r="C107" s="22" t="str">
        <x:v>OUTRA PCT 25 PCT CONTEUDO25 FATOR25</x:v>
      </x:c>
      <x:c r="D107" s="22" t="n">
        <x:v>2</x:v>
      </x:c>
      <x:c r="E107" s="22" t="str">
        <x:v>BAIXO</x:v>
      </x:c>
      <x:c r="F107" s="22" t="str">
        <x:v>Mesma especificação; decidir se marca/fabricante separa o SKU</x:v>
      </x:c>
      <x:c r="G107" s="28" t="str">
        <x:f>"EMC0001"</x:f>
        <x:v>EMC0001</x:v>
      </x:c>
      <x:c r="H107" s="22" t="str">
        <x:v>EQUIPO MACROGOTAS C/INJ LATERAL LUER SLIP PCT/25 DESCARPACK</x:v>
      </x:c>
      <x:c r="I107" s="22" t="str"/>
      <x:c r="J107" s="22" t="str"/>
      <x:c r="K107" s="22" t="str">
        <x:v>PCT/25 | PCT | CONTEUDO25 | FATOR25</x:v>
      </x:c>
      <x:c r="L107" s="22" t="str">
        <x:v>DESCARPACK</x:v>
      </x:c>
      <x:c r="M107" s="28" t="str">
        <x:f>"GTIN: 7898283818633"</x:f>
        <x:v>GTIN: 7898283818633</x:v>
      </x:c>
      <x:c r="N107" s="28" t="str">
        <x:f>"422"</x:f>
        <x:v>422</x:v>
      </x:c>
      <x:c r="O107" s="27" t="str"/>
      <x:c r="P107" s="27" t="str"/>
    </x:row>
    <x:row r="108">
      <x:c r="A108" s="28" t="str">
        <x:f>"DUP-039"</x:f>
        <x:v>DUP-039</x:v>
      </x:c>
      <x:c r="B108" s="22" t="str">
        <x:v>EQUIPO NUTRICAO BOMBA INFUSUSORA COD</x:v>
      </x:c>
      <x:c r="C108" s="22" t="str">
        <x:v>CAIXA CX 50 CX CONTEUDO50 FATOR50</x:v>
      </x:c>
      <x:c r="D108" s="22" t="n">
        <x:v>2</x:v>
      </x:c>
      <x:c r="E108" s="22" t="str">
        <x:v>BAIXO</x:v>
      </x:c>
      <x:c r="F108" s="22" t="str">
        <x:v>Mesma especificação com GTIN diferente; revisar cadastro</x:v>
      </x:c>
      <x:c r="G108" s="28" t="str">
        <x:f>"ENP0002"</x:f>
        <x:v>ENP0002</x:v>
      </x:c>
      <x:c r="H108" s="22" t="str">
        <x:v>EQUIPO DE NUTRIÇÃO P/ BOMBA DE INFUSUSORA (NUTRI-HART PLUS 2 VIAS) - CX/50 - HARTMANN CÓD.150.138</x:v>
      </x:c>
      <x:c r="I108" s="22" t="str"/>
      <x:c r="J108" s="22" t="str"/>
      <x:c r="K108" s="22" t="str">
        <x:v>CX/50 | CX | CONTEUDO50 | FATOR50</x:v>
      </x:c>
      <x:c r="L108" s="22" t="str">
        <x:v>HARTMANN</x:v>
      </x:c>
      <x:c r="M108" s="28" t="str">
        <x:f>"GTIN: 7898468471264"</x:f>
        <x:v>GTIN: 7898468471264</x:v>
      </x:c>
      <x:c r="N108" s="28" t="str">
        <x:f>"414"</x:f>
        <x:v>414</x:v>
      </x:c>
      <x:c r="O108" s="27" t="str"/>
      <x:c r="P108" s="27" t="str"/>
    </x:row>
    <x:row r="109">
      <x:c r="A109" s="28" t="str">
        <x:f>"DUP-039"</x:f>
        <x:v>DUP-039</x:v>
      </x:c>
      <x:c r="B109" s="22" t="str">
        <x:v>EQUIPO NUTRICAO BOMBA INFUSUSORA COD</x:v>
      </x:c>
      <x:c r="C109" s="22" t="str">
        <x:v>CAIXA CX 50 CX CONTEUDO50 FATOR50</x:v>
      </x:c>
      <x:c r="D109" s="22" t="n">
        <x:v>2</x:v>
      </x:c>
      <x:c r="E109" s="22" t="str">
        <x:v>BAIXO</x:v>
      </x:c>
      <x:c r="F109" s="22" t="str">
        <x:v>Mesma especificação com GTIN diferente; revisar cadastro</x:v>
      </x:c>
      <x:c r="G109" s="28" t="str">
        <x:f>"ENP0001"</x:f>
        <x:v>ENP0001</x:v>
      </x:c>
      <x:c r="H109" s="22" t="str">
        <x:v>EQUIPO DE NUTRIÇÃO P/ BOMBA DE INFUSUSORA (NUTRI-HART PLUS 2 VIAS) - CX/50 - HARTMANN CÓD.171.110</x:v>
      </x:c>
      <x:c r="I109" s="22" t="str"/>
      <x:c r="J109" s="22" t="str"/>
      <x:c r="K109" s="22" t="str">
        <x:v>CX/50 | CX | CONTEUDO50 | FATOR50</x:v>
      </x:c>
      <x:c r="L109" s="22" t="str">
        <x:v>HARTMANN</x:v>
      </x:c>
      <x:c r="M109" s="28" t="str">
        <x:f>"GTIN: 7892905914703"</x:f>
        <x:v>GTIN: 7892905914703</x:v>
      </x:c>
      <x:c r="N109" s="28" t="str">
        <x:f>"415"</x:f>
        <x:v>415</x:v>
      </x:c>
      <x:c r="O109" s="27" t="str"/>
      <x:c r="P109" s="27" t="str"/>
    </x:row>
    <x:row r="110">
      <x:c r="A110" s="28" t="str">
        <x:f>"DUP-040"</x:f>
        <x:v>DUP-040</x:v>
      </x:c>
      <x:c r="B110" s="22" t="str">
        <x:v>ESPARADRAPO IMPERMEAVEL 10CMX4 5M</x:v>
      </x:c>
      <x:c r="C110" s="22" t="str">
        <x:v>CAIXA CX CONTEUDO24 FATOR24</x:v>
      </x:c>
      <x:c r="D110" s="22" t="n">
        <x:v>2</x:v>
      </x:c>
      <x:c r="E110" s="22" t="str">
        <x:v>BAIXO</x:v>
      </x:c>
      <x:c r="F110" s="22" t="str">
        <x:v>Mesma especificação; decidir se marca/fabricante separa o SKU</x:v>
      </x:c>
      <x:c r="G110" s="28" t="str">
        <x:f>"EI10001"</x:f>
        <x:v>EI10001</x:v>
      </x:c>
      <x:c r="H110" s="22" t="str">
        <x:v>ESPARADRAPO IMPERMEÁVEL 10CMX4,5M - HAIBRETH</x:v>
      </x:c>
      <x:c r="I110" s="22" t="str"/>
      <x:c r="J110" s="22" t="str"/>
      <x:c r="K110" s="22" t="str">
        <x:v>CX | CONTEUDO24 | FATOR24</x:v>
      </x:c>
      <x:c r="L110" s="22" t="str">
        <x:v>HAIBRETH</x:v>
      </x:c>
      <x:c r="M110" s="28" t="str"/>
      <x:c r="N110" s="28" t="str">
        <x:f>"427"</x:f>
        <x:v>427</x:v>
      </x:c>
      <x:c r="O110" s="27" t="str"/>
      <x:c r="P110" s="27" t="str"/>
    </x:row>
    <x:row r="111">
      <x:c r="A111" s="28" t="str">
        <x:f>"DUP-040"</x:f>
        <x:v>DUP-040</x:v>
      </x:c>
      <x:c r="B111" s="22" t="str">
        <x:v>ESPARADRAPO IMPERMEAVEL 10CMX4 5M</x:v>
      </x:c>
      <x:c r="C111" s="22" t="str">
        <x:v>CAIXA CX CONTEUDO24 FATOR24</x:v>
      </x:c>
      <x:c r="D111" s="22" t="n">
        <x:v>2</x:v>
      </x:c>
      <x:c r="E111" s="22" t="str">
        <x:v>BAIXO</x:v>
      </x:c>
      <x:c r="F111" s="22" t="str">
        <x:v>Mesma especificação; decidir se marca/fabricante separa o SKU</x:v>
      </x:c>
      <x:c r="G111" s="28" t="str">
        <x:f>"EI50001"</x:f>
        <x:v>EI50001</x:v>
      </x:c>
      <x:c r="H111" s="22" t="str">
        <x:v>ESPARADRAPO IMPERMEÁVEL 10CMX4,5M - MISSNER</x:v>
      </x:c>
      <x:c r="I111" s="22" t="str"/>
      <x:c r="J111" s="22" t="str"/>
      <x:c r="K111" s="22" t="str">
        <x:v>CX | CONTEUDO24 | FATOR24</x:v>
      </x:c>
      <x:c r="L111" s="22" t="str">
        <x:v>MISSNER</x:v>
      </x:c>
      <x:c r="M111" s="28" t="str">
        <x:f>"GTIN: 7908414483804"</x:f>
        <x:v>GTIN: 7908414483804</x:v>
      </x:c>
      <x:c r="N111" s="28" t="str">
        <x:f>"428"</x:f>
        <x:v>428</x:v>
      </x:c>
      <x:c r="O111" s="27" t="str"/>
      <x:c r="P111" s="27" t="str"/>
    </x:row>
    <x:row r="112">
      <x:c r="A112" s="28" t="str">
        <x:f>"DUP-041"</x:f>
        <x:v>DUP-041</x:v>
      </x:c>
      <x:c r="B112" s="22" t="str">
        <x:v>ESPONJA HEMOSTATICA</x:v>
      </x:c>
      <x:c r="C112" s="22" t="str">
        <x:v>125X80X10MM UNIDADE UND</x:v>
      </x:c>
      <x:c r="D112" s="22" t="n">
        <x:v>2</x:v>
      </x:c>
      <x:c r="E112" s="22" t="str">
        <x:v>BAIXO</x:v>
      </x:c>
      <x:c r="F112" s="22" t="str">
        <x:v>Mesma especificação; decidir se marca/fabricante separa o SKU</x:v>
      </x:c>
      <x:c r="G112" s="28" t="str">
        <x:f>"EH10001"</x:f>
        <x:v>EH10001</x:v>
      </x:c>
      <x:c r="H112" s="22" t="str">
        <x:v>ESPONJA HEMOSTATICA 125X80X10MM - CUTANPLAST</x:v>
      </x:c>
      <x:c r="I112" s="22" t="str"/>
      <x:c r="J112" s="22" t="str">
        <x:v>125X80X10MM</x:v>
      </x:c>
      <x:c r="K112" s="22" t="str">
        <x:v>UND</x:v>
      </x:c>
      <x:c r="L112" s="22" t="str">
        <x:v>CUTANPLAST</x:v>
      </x:c>
      <x:c r="M112" s="28" t="str">
        <x:f>"GTIN: 7898254941919"</x:f>
        <x:v>GTIN: 7898254941919</x:v>
      </x:c>
      <x:c r="N112" s="28" t="str">
        <x:f>"431"</x:f>
        <x:v>431</x:v>
      </x:c>
      <x:c r="O112" s="27" t="str"/>
      <x:c r="P112" s="27" t="str"/>
    </x:row>
    <x:row r="113">
      <x:c r="A113" s="28" t="str">
        <x:f>"DUP-041"</x:f>
        <x:v>DUP-041</x:v>
      </x:c>
      <x:c r="B113" s="22" t="str">
        <x:v>ESPONJA HEMOSTATICA</x:v>
      </x:c>
      <x:c r="C113" s="22" t="str">
        <x:v>125X80X10MM UNIDADE UND</x:v>
      </x:c>
      <x:c r="D113" s="22" t="n">
        <x:v>2</x:v>
      </x:c>
      <x:c r="E113" s="22" t="str">
        <x:v>BAIXO</x:v>
      </x:c>
      <x:c r="F113" s="22" t="str">
        <x:v>Mesma especificação; decidir se marca/fabricante separa o SKU</x:v>
      </x:c>
      <x:c r="G113" s="28" t="str">
        <x:f>"EH10006"</x:f>
        <x:v>EH10006</x:v>
      </x:c>
      <x:c r="H113" s="22" t="str">
        <x:v>ESPONJA HEMOSTATICA 125X80X10MM - MAQUIRA (HEMOSPON)</x:v>
      </x:c>
      <x:c r="I113" s="22" t="str"/>
      <x:c r="J113" s="22" t="str">
        <x:v>125X80X10MM</x:v>
      </x:c>
      <x:c r="K113" s="22" t="str">
        <x:v>UND</x:v>
      </x:c>
      <x:c r="L113" s="22" t="str">
        <x:v>MAQUIRA</x:v>
      </x:c>
      <x:c r="M113" s="28" t="str">
        <x:f>"GTIN: 7898254941919"</x:f>
        <x:v>GTIN: 7898254941919</x:v>
      </x:c>
      <x:c r="N113" s="28" t="str">
        <x:f>"432 | 433 | 434 | 435 | 436 | 437 | 438 | 439 | 440 | 441 | 442 | 443 | 444 | 445 | 446 | 447 | 448"</x:f>
        <x:v>432 | 433 | 434 | 435 | 436 | 437 | 438 | 439 | 440 | 441 | 442 | 443 | 444 | 445 | 446 | 447 | 448</x:v>
      </x:c>
      <x:c r="O113" s="27" t="str"/>
      <x:c r="P113" s="27" t="str"/>
    </x:row>
    <x:row r="114">
      <x:c r="A114" s="28" t="str">
        <x:f>"DUP-042"</x:f>
        <x:v>DUP-042</x:v>
      </x:c>
      <x:c r="B114" s="22" t="str">
        <x:v>HEMITARTARATO NOREPINEFRINA</x:v>
      </x:c>
      <x:c r="C114" s="22" t="str">
        <x:v>2MG ML 2MG 4ML CAIXA FR CX 50 CX CONTEUDO50 FATOR50</x:v>
      </x:c>
      <x:c r="D114" s="22" t="n">
        <x:v>2</x:v>
      </x:c>
      <x:c r="E114" s="22" t="str">
        <x:v>BAIXO</x:v>
      </x:c>
      <x:c r="F114" s="22" t="str">
        <x:v>Mesma especificação; decidir se marca/fabricante separa o SKU</x:v>
      </x:c>
      <x:c r="G114" s="28" t="str">
        <x:f>"HN20002"</x:f>
        <x:v>HN20002</x:v>
      </x:c>
      <x:c r="H114" s="22" t="str">
        <x:v>HEMITARTARATO DE NOREPINEFRINA 2MG/ML FR 4ML - HIPOLABOR - CX/50</x:v>
      </x:c>
      <x:c r="I114" s="22" t="str">
        <x:v>2MG/ML | 2MG | 4ML</x:v>
      </x:c>
      <x:c r="J114" s="22" t="str"/>
      <x:c r="K114" s="22" t="str">
        <x:v>FR | CX/50 | CX | CONTEUDO50 | FATOR50</x:v>
      </x:c>
      <x:c r="L114" s="22" t="str">
        <x:v>HIPOLABOR</x:v>
      </x:c>
      <x:c r="M114" s="28" t="str"/>
      <x:c r="N114" s="28" t="str">
        <x:f>"482"</x:f>
        <x:v>482</x:v>
      </x:c>
      <x:c r="O114" s="27" t="str"/>
      <x:c r="P114" s="27" t="str"/>
    </x:row>
    <x:row r="115">
      <x:c r="A115" s="28" t="str">
        <x:f>"DUP-042"</x:f>
        <x:v>DUP-042</x:v>
      </x:c>
      <x:c r="B115" s="22" t="str">
        <x:v>HEMITARTARATO NOREPINEFRINA</x:v>
      </x:c>
      <x:c r="C115" s="22" t="str">
        <x:v>2MG ML 2MG 4ML CAIXA FR CX 50 CX CONTEUDO50 FATOR50</x:v>
      </x:c>
      <x:c r="D115" s="22" t="n">
        <x:v>2</x:v>
      </x:c>
      <x:c r="E115" s="22" t="str">
        <x:v>BAIXO</x:v>
      </x:c>
      <x:c r="F115" s="22" t="str">
        <x:v>Mesma especificação; decidir se marca/fabricante separa o SKU</x:v>
      </x:c>
      <x:c r="G115" s="28" t="str">
        <x:f>"HN20001"</x:f>
        <x:v>HN20001</x:v>
      </x:c>
      <x:c r="H115" s="22" t="str">
        <x:v>HEMITARTARATO DE NOREPINEFRINA 2MG/ML FR 4ML - HYPOFARMA - CX/50</x:v>
      </x:c>
      <x:c r="I115" s="22" t="str">
        <x:v>2MG/ML | 2MG | 4ML</x:v>
      </x:c>
      <x:c r="J115" s="22" t="str"/>
      <x:c r="K115" s="22" t="str">
        <x:v>FR | CX/50 | CX | CONTEUDO50 | FATOR50</x:v>
      </x:c>
      <x:c r="L115" s="22" t="str">
        <x:v>HYPOFARMA</x:v>
      </x:c>
      <x:c r="M115" s="28" t="str">
        <x:f>"GTIN: 7891008759099"</x:f>
        <x:v>GTIN: 7891008759099</x:v>
      </x:c>
      <x:c r="N115" s="28" t="str">
        <x:f>"483 | 484"</x:f>
        <x:v>483 | 484</x:v>
      </x:c>
      <x:c r="O115" s="27" t="str"/>
      <x:c r="P115" s="27" t="str"/>
    </x:row>
    <x:row r="116">
      <x:c r="A116" s="28" t="str">
        <x:f>"DUP-043"</x:f>
        <x:v>DUP-043</x:v>
      </x:c>
      <x:c r="B116" s="22" t="str">
        <x:v>HIDROCORTISONA</x:v>
      </x:c>
      <x:c r="C116" s="22" t="str">
        <x:v>500MG CAIXA CX 50 CX CONTEUDO50 FATOR50</x:v>
      </x:c>
      <x:c r="D116" s="22" t="n">
        <x:v>2</x:v>
      </x:c>
      <x:c r="E116" s="22" t="str">
        <x:v>MÉDIO</x:v>
      </x:c>
      <x:c r="F116" s="22" t="str">
        <x:v>Mesma especificação com GTIN diferente; revisar cadastro</x:v>
      </x:c>
      <x:c r="G116" s="28" t="str">
        <x:f>"H1-0003"</x:f>
        <x:v>H1-0003</x:v>
      </x:c>
      <x:c r="H116" s="22" t="str">
        <x:v>HIDROCORTISONA 500MG - BLAU CX/50</x:v>
      </x:c>
      <x:c r="I116" s="22" t="str">
        <x:v>500MG</x:v>
      </x:c>
      <x:c r="J116" s="22" t="str"/>
      <x:c r="K116" s="22" t="str">
        <x:v>CX/50 | CX | CONTEUDO50 | FATOR50</x:v>
      </x:c>
      <x:c r="L116" s="22" t="str">
        <x:v>BLAU</x:v>
      </x:c>
      <x:c r="M116" s="28" t="str">
        <x:f>"GTIN: 7891004163241"</x:f>
        <x:v>GTIN: 7891004163241</x:v>
      </x:c>
      <x:c r="N116" s="28" t="str">
        <x:f>"491 | 492 | 493 | 494 | 495 | 496"</x:f>
        <x:v>491 | 492 | 493 | 494 | 495 | 496</x:v>
      </x:c>
      <x:c r="O116" s="27" t="str"/>
      <x:c r="P116" s="27" t="str"/>
    </x:row>
    <x:row r="117">
      <x:c r="A117" s="28" t="str">
        <x:f>"DUP-043"</x:f>
        <x:v>DUP-043</x:v>
      </x:c>
      <x:c r="B117" s="22" t="str">
        <x:v>HIDROCORTISONA</x:v>
      </x:c>
      <x:c r="C117" s="22" t="str">
        <x:v>500MG CAIXA CX 50 CX CONTEUDO50 FATOR50</x:v>
      </x:c>
      <x:c r="D117" s="22" t="n">
        <x:v>2</x:v>
      </x:c>
      <x:c r="E117" s="22" t="str">
        <x:v>MÉDIO</x:v>
      </x:c>
      <x:c r="F117" s="22" t="str">
        <x:v>Mesma especificação com GTIN diferente; revisar cadastro</x:v>
      </x:c>
      <x:c r="G117" s="28" t="str">
        <x:f>"H5F0004"</x:f>
        <x:v>H5F0004</x:v>
      </x:c>
      <x:c r="H117" s="22" t="str">
        <x:v>HIDROCORTISONA 500MG - CX/50 - BLAU</x:v>
      </x:c>
      <x:c r="I117" s="22" t="str">
        <x:v>500MG</x:v>
      </x:c>
      <x:c r="J117" s="22" t="str"/>
      <x:c r="K117" s="22" t="str">
        <x:v>CX/50 | CX | CONTEUDO50 | FATOR50</x:v>
      </x:c>
      <x:c r="L117" s="22" t="str">
        <x:v>BLAU</x:v>
      </x:c>
      <x:c r="M117" s="28" t="str">
        <x:f>"GTIN: 7896014688456"</x:f>
        <x:v>GTIN: 7896014688456</x:v>
      </x:c>
      <x:c r="N117" s="28" t="str">
        <x:f>"497"</x:f>
        <x:v>497</x:v>
      </x:c>
      <x:c r="O117" s="27" t="str"/>
      <x:c r="P117" s="27" t="str"/>
    </x:row>
    <x:row r="118">
      <x:c r="A118" s="28" t="str">
        <x:f>"DUP-044"</x:f>
        <x:v>DUP-044</x:v>
      </x:c>
      <x:c r="B118" s="22" t="str">
        <x:v>HIPOCLORITO SODIO</x:v>
      </x:c>
      <x:c r="C118" s="22" t="str">
        <x:v>5L UNIDADE UND</x:v>
      </x:c>
      <x:c r="D118" s="22" t="n">
        <x:v>2</x:v>
      </x:c>
      <x:c r="E118" s="22" t="str">
        <x:v>BAIXO</x:v>
      </x:c>
      <x:c r="F118" s="22" t="str">
        <x:v>Mesma especificação com GTIN diferente; revisar cadastro</x:v>
      </x:c>
      <x:c r="G118" s="28" t="str">
        <x:f>"HS10001"</x:f>
        <x:v>HS10001</x:v>
      </x:c>
      <x:c r="H118" s="22" t="str">
        <x:v>HIPOCLORITO DE SODIO 1% 5L CORDEX</x:v>
      </x:c>
      <x:c r="I118" s="22" t="str">
        <x:v>5L</x:v>
      </x:c>
      <x:c r="J118" s="22" t="str"/>
      <x:c r="K118" s="22" t="str">
        <x:v>UND</x:v>
      </x:c>
      <x:c r="L118" s="22" t="str">
        <x:v>CORDEX</x:v>
      </x:c>
      <x:c r="M118" s="28" t="str">
        <x:f>"GTIN: 7897534817241"</x:f>
        <x:v>GTIN: 7897534817241</x:v>
      </x:c>
      <x:c r="N118" s="28" t="str">
        <x:f>"502"</x:f>
        <x:v>502</x:v>
      </x:c>
      <x:c r="O118" s="27" t="str"/>
      <x:c r="P118" s="27" t="str"/>
    </x:row>
    <x:row r="119">
      <x:c r="A119" s="28" t="str">
        <x:f>"DUP-044"</x:f>
        <x:v>DUP-044</x:v>
      </x:c>
      <x:c r="B119" s="22" t="str">
        <x:v>HIPOCLORITO SODIO</x:v>
      </x:c>
      <x:c r="C119" s="22" t="str">
        <x:v>5L UNIDADE UND</x:v>
      </x:c>
      <x:c r="D119" s="22" t="n">
        <x:v>2</x:v>
      </x:c>
      <x:c r="E119" s="22" t="str">
        <x:v>BAIXO</x:v>
      </x:c>
      <x:c r="F119" s="22" t="str">
        <x:v>Mesma especificação com GTIN diferente; revisar cadastro</x:v>
      </x:c>
      <x:c r="G119" s="28" t="str">
        <x:f>"HS10002"</x:f>
        <x:v>HS10002</x:v>
      </x:c>
      <x:c r="H119" s="22" t="str">
        <x:v>HIPOCLORITO DE SODIO 5% 5L CORDEX</x:v>
      </x:c>
      <x:c r="I119" s="22" t="str">
        <x:v>5L</x:v>
      </x:c>
      <x:c r="J119" s="22" t="str"/>
      <x:c r="K119" s="22" t="str">
        <x:v>UND</x:v>
      </x:c>
      <x:c r="L119" s="22" t="str">
        <x:v>CORDEX</x:v>
      </x:c>
      <x:c r="M119" s="28" t="str">
        <x:f>"GTIN: 7890000192484"</x:f>
        <x:v>GTIN: 7890000192484</x:v>
      </x:c>
      <x:c r="N119" s="28" t="str">
        <x:f>"503"</x:f>
        <x:v>503</x:v>
      </x:c>
      <x:c r="O119" s="27" t="str"/>
      <x:c r="P119" s="27" t="str"/>
    </x:row>
    <x:row r="120">
      <x:c r="A120" s="28" t="str">
        <x:f>"DUP-045"</x:f>
        <x:v>DUP-045</x:v>
      </x:c>
      <x:c r="B120" s="22" t="str">
        <x:v>INSULINA HUMANA NPH ML</x:v>
      </x:c>
      <x:c r="C120" s="22" t="str">
        <x:v>100UI 10ML UNIDADE UND</x:v>
      </x:c>
      <x:c r="D120" s="22" t="n">
        <x:v>2</x:v>
      </x:c>
      <x:c r="E120" s="22" t="str">
        <x:v>BAIXO</x:v>
      </x:c>
      <x:c r="F120" s="22" t="str">
        <x:v>Mesma especificação; decidir se marca/fabricante separa o SKU</x:v>
      </x:c>
      <x:c r="G120" s="28" t="str">
        <x:f>"IHN0001"</x:f>
        <x:v>IHN0001</x:v>
      </x:c>
      <x:c r="H120" s="22" t="str">
        <x:v>INSULINA HUMANA NPH 100UI/ML 10ML - ELI LILLY</x:v>
      </x:c>
      <x:c r="I120" s="22" t="str">
        <x:v>100UI | 10ML</x:v>
      </x:c>
      <x:c r="J120" s="22" t="str"/>
      <x:c r="K120" s="22" t="str">
        <x:v>UND</x:v>
      </x:c>
      <x:c r="L120" s="22" t="str">
        <x:v>ELI LILLY</x:v>
      </x:c>
      <x:c r="M120" s="28" t="str"/>
      <x:c r="N120" s="28" t="str">
        <x:f>"509"</x:f>
        <x:v>509</x:v>
      </x:c>
      <x:c r="O120" s="27" t="str"/>
      <x:c r="P120" s="27" t="str"/>
    </x:row>
    <x:row r="121">
      <x:c r="A121" s="28" t="str">
        <x:f>"DUP-045"</x:f>
        <x:v>DUP-045</x:v>
      </x:c>
      <x:c r="B121" s="22" t="str">
        <x:v>INSULINA HUMANA NPH ML</x:v>
      </x:c>
      <x:c r="C121" s="22" t="str">
        <x:v>100UI 10ML UNIDADE UND</x:v>
      </x:c>
      <x:c r="D121" s="22" t="n">
        <x:v>2</x:v>
      </x:c>
      <x:c r="E121" s="22" t="str">
        <x:v>BAIXO</x:v>
      </x:c>
      <x:c r="F121" s="22" t="str">
        <x:v>Mesma especificação; decidir se marca/fabricante separa o SKU</x:v>
      </x:c>
      <x:c r="G121" s="28" t="str">
        <x:f>"IHN0008"</x:f>
        <x:v>IHN0008</x:v>
      </x:c>
      <x:c r="H121" s="22" t="str">
        <x:v>INSULINA HUMANA NPH 100UI/ML 10ML - NOVO NORDISK (NOVOLIN)</x:v>
      </x:c>
      <x:c r="I121" s="22" t="str">
        <x:v>100UI | 10ML</x:v>
      </x:c>
      <x:c r="J121" s="22" t="str"/>
      <x:c r="K121" s="22" t="str">
        <x:v>UND</x:v>
      </x:c>
      <x:c r="L121" s="22" t="str">
        <x:v>NOVO NORDISK</x:v>
      </x:c>
      <x:c r="M121" s="28" t="str">
        <x:f>"GTIN: 7897705203231"</x:f>
        <x:v>GTIN: 7897705203231</x:v>
      </x:c>
      <x:c r="N121" s="28" t="str">
        <x:f>"510 | 511"</x:f>
        <x:v>510 | 511</x:v>
      </x:c>
      <x:c r="O121" s="27" t="str"/>
      <x:c r="P121" s="27" t="str"/>
    </x:row>
    <x:row r="122">
      <x:c r="A122" s="28" t="str">
        <x:f>"DUP-046"</x:f>
        <x:v>DUP-046</x:v>
      </x:c>
      <x:c r="B122" s="22" t="str">
        <x:v>LIDOCAINA SPRAY</x:v>
      </x:c>
      <x:c r="C122" s="22" t="str">
        <x:v>100MG ML 100MG 50ML CAIXA CX CONTEUDO1</x:v>
      </x:c>
      <x:c r="D122" s="22" t="n">
        <x:v>2</x:v>
      </x:c>
      <x:c r="E122" s="22" t="str">
        <x:v>BAIXO</x:v>
      </x:c>
      <x:c r="F122" s="22" t="str">
        <x:v>Mesma especificação; decidir se marca/fabricante separa o SKU</x:v>
      </x:c>
      <x:c r="G122" s="28" t="str">
        <x:f>"L1(0003"</x:f>
        <x:v>L1(0003</x:v>
      </x:c>
      <x:c r="H122" s="22" t="str">
        <x:v>LIDOCAINA 10% (100MG/ML) SPRAY 50ML - CRISTALIA</x:v>
      </x:c>
      <x:c r="I122" s="22" t="str">
        <x:v>100MG/ML | 100MG | 50ML</x:v>
      </x:c>
      <x:c r="J122" s="22" t="str"/>
      <x:c r="K122" s="22" t="str">
        <x:v>CX | CONTEUDO1</x:v>
      </x:c>
      <x:c r="L122" s="22" t="str">
        <x:v>CRISTALIA</x:v>
      </x:c>
      <x:c r="M122" s="28" t="str">
        <x:f>"GTIN: 7898123908999"</x:f>
        <x:v>GTIN: 7898123908999</x:v>
      </x:c>
      <x:c r="N122" s="28" t="str">
        <x:f>"534"</x:f>
        <x:v>534</x:v>
      </x:c>
      <x:c r="O122" s="27" t="str"/>
      <x:c r="P122" s="27" t="str"/>
    </x:row>
    <x:row r="123">
      <x:c r="A123" s="28" t="str">
        <x:f>"DUP-046"</x:f>
        <x:v>DUP-046</x:v>
      </x:c>
      <x:c r="B123" s="22" t="str">
        <x:v>LIDOCAINA SPRAY</x:v>
      </x:c>
      <x:c r="C123" s="22" t="str">
        <x:v>100MG ML 100MG 50ML CAIXA CX CONTEUDO1</x:v>
      </x:c>
      <x:c r="D123" s="22" t="n">
        <x:v>2</x:v>
      </x:c>
      <x:c r="E123" s="22" t="str">
        <x:v>BAIXO</x:v>
      </x:c>
      <x:c r="F123" s="22" t="str">
        <x:v>Mesma especificação; decidir se marca/fabricante separa o SKU</x:v>
      </x:c>
      <x:c r="G123" s="28" t="str">
        <x:f>"L1(0001"</x:f>
        <x:v>L1(0001</x:v>
      </x:c>
      <x:c r="H123" s="22" t="str">
        <x:v>LIDOCAINA 10% (100MG/ML) SPRAY 50ML - HIPOLABOR</x:v>
      </x:c>
      <x:c r="I123" s="22" t="str">
        <x:v>100MG/ML | 100MG | 50ML</x:v>
      </x:c>
      <x:c r="J123" s="22" t="str"/>
      <x:c r="K123" s="22" t="str">
        <x:v>CX | CONTEUDO1</x:v>
      </x:c>
      <x:c r="L123" s="22" t="str">
        <x:v>HIPOLABOR</x:v>
      </x:c>
      <x:c r="M123" s="28" t="str">
        <x:f>"GTIN: 7898123908999"</x:f>
        <x:v>GTIN: 7898123908999</x:v>
      </x:c>
      <x:c r="N123" s="28" t="str">
        <x:f>"535 | 536 | 537"</x:f>
        <x:v>535 | 536 | 537</x:v>
      </x:c>
      <x:c r="O123" s="27" t="str"/>
      <x:c r="P123" s="27" t="str"/>
    </x:row>
    <x:row r="124">
      <x:c r="A124" s="28" t="str">
        <x:f>"DUP-047"</x:f>
        <x:v>DUP-047</x:v>
      </x:c>
      <x:c r="B124" s="22" t="str">
        <x:v>LUVA CIR LATEX PO TAM ESTERIL</x:v>
      </x:c>
      <x:c r="C124" s="22" t="str">
        <x:v>OUTRA 1PAR</x:v>
      </x:c>
      <x:c r="D124" s="22" t="n">
        <x:v>2</x:v>
      </x:c>
      <x:c r="E124" s="22" t="str">
        <x:v>BAIXO</x:v>
      </x:c>
      <x:c r="F124" s="22" t="str">
        <x:v>Mesma especificação; decidir se marca/fabricante separa o SKU</x:v>
      </x:c>
      <x:c r="G124" s="28" t="str">
        <x:f>"LCT0002"</x:f>
        <x:v>LCT0002</x:v>
      </x:c>
      <x:c r="H124" s="22" t="str">
        <x:v>LUVA CIR LATEX C/ PO TAM. 7.5 ESTÉRIL - MEDIX</x:v>
      </x:c>
      <x:c r="I124" s="22" t="str"/>
      <x:c r="J124" s="22" t="str"/>
      <x:c r="K124" s="22" t="str">
        <x:v>1PAR</x:v>
      </x:c>
      <x:c r="L124" s="22" t="str">
        <x:v>MEDIX</x:v>
      </x:c>
      <x:c r="M124" s="28" t="str">
        <x:f>"GTIN: 7898945443135"</x:f>
        <x:v>GTIN: 7898945443135</x:v>
      </x:c>
      <x:c r="N124" s="28" t="str">
        <x:f>"554"</x:f>
        <x:v>554</x:v>
      </x:c>
      <x:c r="O124" s="27" t="str"/>
      <x:c r="P124" s="27" t="str"/>
    </x:row>
    <x:row r="125">
      <x:c r="A125" s="28" t="str">
        <x:f>"DUP-047"</x:f>
        <x:v>DUP-047</x:v>
      </x:c>
      <x:c r="B125" s="22" t="str">
        <x:v>LUVA CIR LATEX PO TAM ESTERIL</x:v>
      </x:c>
      <x:c r="C125" s="22" t="str">
        <x:v>OUTRA 1PAR</x:v>
      </x:c>
      <x:c r="D125" s="22" t="n">
        <x:v>2</x:v>
      </x:c>
      <x:c r="E125" s="22" t="str">
        <x:v>BAIXO</x:v>
      </x:c>
      <x:c r="F125" s="22" t="str">
        <x:v>Mesma especificação; decidir se marca/fabricante separa o SKU</x:v>
      </x:c>
      <x:c r="G125" s="28" t="str">
        <x:f>"LCL0001"</x:f>
        <x:v>LCL0001</x:v>
      </x:c>
      <x:c r="H125" s="22" t="str">
        <x:v>LUVA CIR LATEX C/ PO TAM. 8.0 ESTÉRIL - DESCARPACK</x:v>
      </x:c>
      <x:c r="I125" s="22" t="str"/>
      <x:c r="J125" s="22" t="str"/>
      <x:c r="K125" s="22" t="str">
        <x:v>1PAR</x:v>
      </x:c>
      <x:c r="L125" s="22" t="str">
        <x:v>DESCARPACK</x:v>
      </x:c>
      <x:c r="M125" s="28" t="str">
        <x:f>"GTIN: 7898945443142"</x:f>
        <x:v>GTIN: 7898945443142</x:v>
      </x:c>
      <x:c r="N125" s="28" t="str">
        <x:f>"555"</x:f>
        <x:v>555</x:v>
      </x:c>
      <x:c r="O125" s="27" t="str"/>
      <x:c r="P125" s="27" t="str"/>
    </x:row>
    <x:row r="126">
      <x:c r="A126" s="28" t="str">
        <x:f>"DUP-048"</x:f>
        <x:v>DUP-048</x:v>
      </x:c>
      <x:c r="B126" s="22" t="str">
        <x:v>LUVA NITRILICA AZUL M PO</x:v>
      </x:c>
      <x:c r="C126" s="22" t="str">
        <x:v>CAIXA CX 100 CX CONTEUDO100 FATOR100</x:v>
      </x:c>
      <x:c r="D126" s="22" t="n">
        <x:v>2</x:v>
      </x:c>
      <x:c r="E126" s="22" t="str">
        <x:v>MÉDIO</x:v>
      </x:c>
      <x:c r="F126" s="22" t="str">
        <x:v>Mesma especificação; decidir se marca/fabricante separa o SKU</x:v>
      </x:c>
      <x:c r="G126" s="28" t="str">
        <x:f>"LNA0001"</x:f>
        <x:v>LNA0001</x:v>
      </x:c>
      <x:c r="H126" s="22" t="str">
        <x:v>LUVA NITRÍLICA AZUL M S/ PÓ - CX/100 - DESCARPACK</x:v>
      </x:c>
      <x:c r="I126" s="22" t="str"/>
      <x:c r="J126" s="22" t="str"/>
      <x:c r="K126" s="22" t="str">
        <x:v>CX/100 | CX | CONTEUDO100 | FATOR100</x:v>
      </x:c>
      <x:c r="L126" s="22" t="str">
        <x:v>DESCARPACK</x:v>
      </x:c>
      <x:c r="M126" s="28" t="str"/>
      <x:c r="N126" s="28" t="str">
        <x:f>"570"</x:f>
        <x:v>570</x:v>
      </x:c>
      <x:c r="O126" s="27" t="str"/>
      <x:c r="P126" s="27" t="str"/>
    </x:row>
    <x:row r="127">
      <x:c r="A127" s="28" t="str">
        <x:f>"DUP-048"</x:f>
        <x:v>DUP-048</x:v>
      </x:c>
      <x:c r="B127" s="22" t="str">
        <x:v>LUVA NITRILICA AZUL M PO</x:v>
      </x:c>
      <x:c r="C127" s="22" t="str">
        <x:v>CAIXA CX 100 CX CONTEUDO100 FATOR100</x:v>
      </x:c>
      <x:c r="D127" s="22" t="n">
        <x:v>2</x:v>
      </x:c>
      <x:c r="E127" s="22" t="str">
        <x:v>MÉDIO</x:v>
      </x:c>
      <x:c r="F127" s="22" t="str">
        <x:v>Mesma especificação; decidir se marca/fabricante separa o SKU</x:v>
      </x:c>
      <x:c r="G127" s="28" t="str">
        <x:f>"LNA0002"</x:f>
        <x:v>LNA0002</x:v>
      </x:c>
      <x:c r="H127" s="22" t="str">
        <x:v>LUVA NITRÍLICA AZUL M S/ PÓ - CX/100 - SECUREMED</x:v>
      </x:c>
      <x:c r="I127" s="22" t="str"/>
      <x:c r="J127" s="22" t="str"/>
      <x:c r="K127" s="22" t="str">
        <x:v>CX/100 | CX | CONTEUDO100 | FATOR100</x:v>
      </x:c>
      <x:c r="L127" s="22" t="str">
        <x:v>SECUREMED</x:v>
      </x:c>
      <x:c r="M127" s="28" t="str"/>
      <x:c r="N127" s="28" t="str">
        <x:f>"571"</x:f>
        <x:v>571</x:v>
      </x:c>
      <x:c r="O127" s="27" t="str"/>
      <x:c r="P127" s="27" t="str"/>
    </x:row>
    <x:row r="128">
      <x:c r="A128" s="28" t="str">
        <x:f>"DUP-049"</x:f>
        <x:v>DUP-049</x:v>
      </x:c>
      <x:c r="B128" s="22" t="str">
        <x:v>LUVA NITRILICA PROCEDIMENTO M PO NAO ESTERIL</x:v>
      </x:c>
      <x:c r="C128" s="22" t="str">
        <x:v>CAIXA CX 100 CX CONTEUDO100 FATOR100</x:v>
      </x:c>
      <x:c r="D128" s="22" t="n">
        <x:v>2</x:v>
      </x:c>
      <x:c r="E128" s="22" t="str">
        <x:v>BAIXO</x:v>
      </x:c>
      <x:c r="F128" s="22" t="str">
        <x:v>Mesma especificação; decidir se marca/fabricante separa o SKU</x:v>
      </x:c>
      <x:c r="G128" s="28" t="str">
        <x:f>"LNP0003"</x:f>
        <x:v>LNP0003</x:v>
      </x:c>
      <x:c r="H128" s="22" t="str">
        <x:v>LUVA NITRÍLICA P/ PROCEDIMENTO M S/PÓ NÃO ESTÉRIL - CX/100 - MEDIX</x:v>
      </x:c>
      <x:c r="I128" s="22" t="str"/>
      <x:c r="J128" s="22" t="str"/>
      <x:c r="K128" s="22" t="str">
        <x:v>CX/100 | CX | CONTEUDO100 | FATOR100</x:v>
      </x:c>
      <x:c r="L128" s="22" t="str">
        <x:v>MEDIX</x:v>
      </x:c>
      <x:c r="M128" s="28" t="str"/>
      <x:c r="N128" s="28" t="str">
        <x:f>"575"</x:f>
        <x:v>575</x:v>
      </x:c>
      <x:c r="O128" s="27" t="str"/>
      <x:c r="P128" s="27" t="str"/>
    </x:row>
    <x:row r="129">
      <x:c r="A129" s="28" t="str">
        <x:f>"DUP-049"</x:f>
        <x:v>DUP-049</x:v>
      </x:c>
      <x:c r="B129" s="22" t="str">
        <x:v>LUVA NITRILICA PROCEDIMENTO M PO NAO ESTERIL</x:v>
      </x:c>
      <x:c r="C129" s="22" t="str">
        <x:v>CAIXA CX 100 CX CONTEUDO100 FATOR100</x:v>
      </x:c>
      <x:c r="D129" s="22" t="n">
        <x:v>2</x:v>
      </x:c>
      <x:c r="E129" s="22" t="str">
        <x:v>BAIXO</x:v>
      </x:c>
      <x:c r="F129" s="22" t="str">
        <x:v>Mesma especificação; decidir se marca/fabricante separa o SKU</x:v>
      </x:c>
      <x:c r="G129" s="28" t="str">
        <x:f>"LPE0007"</x:f>
        <x:v>LPE0007</x:v>
      </x:c>
      <x:c r="H129" s="22" t="str">
        <x:v>LUVA NITRÍLICA P/ PROCEDIMENTO M S/PÓ NÃO ESTÉRIL - CX/100 - SAFE MAX</x:v>
      </x:c>
      <x:c r="I129" s="22" t="str"/>
      <x:c r="J129" s="22" t="str"/>
      <x:c r="K129" s="22" t="str">
        <x:v>CX/100 | CX | CONTEUDO100 | FATOR100</x:v>
      </x:c>
      <x:c r="L129" s="22" t="str">
        <x:v>SAFE MAX</x:v>
      </x:c>
      <x:c r="M129" s="28" t="str"/>
      <x:c r="N129" s="28" t="str">
        <x:f>"576"</x:f>
        <x:v>576</x:v>
      </x:c>
      <x:c r="O129" s="27" t="str"/>
      <x:c r="P129" s="27" t="str"/>
    </x:row>
    <x:row r="130">
      <x:c r="A130" s="28" t="str">
        <x:f>"DUP-050"</x:f>
        <x:v>DUP-050</x:v>
      </x:c>
      <x:c r="B130" s="22" t="str">
        <x:v>MEROPENEM</x:v>
      </x:c>
      <x:c r="C130" s="22" t="str">
        <x:v>500MG CAIXA CX 10 CX CONTEUDO10 FATOR10</x:v>
      </x:c>
      <x:c r="D130" s="22" t="n">
        <x:v>2</x:v>
      </x:c>
      <x:c r="E130" s="22" t="str">
        <x:v>MÉDIO</x:v>
      </x:c>
      <x:c r="F130" s="22" t="str">
        <x:v>Mesma especificação; decidir se marca/fabricante separa o SKU</x:v>
      </x:c>
      <x:c r="G130" s="28" t="str">
        <x:f>"M5-0002"</x:f>
        <x:v>M5-0002</x:v>
      </x:c>
      <x:c r="H130" s="22" t="str">
        <x:v>MEROPENEM 500MG - CX/10 - ABL</x:v>
      </x:c>
      <x:c r="I130" s="22" t="str">
        <x:v>500MG</x:v>
      </x:c>
      <x:c r="J130" s="22" t="str"/>
      <x:c r="K130" s="22" t="str">
        <x:v>CX/10 | CX | CONTEUDO10 | FATOR10</x:v>
      </x:c>
      <x:c r="L130" s="22" t="str">
        <x:v>ABL</x:v>
      </x:c>
      <x:c r="M130" s="28" t="str">
        <x:f>"GTIN: 7898911244179"</x:f>
        <x:v>GTIN: 7898911244179</x:v>
      </x:c>
      <x:c r="N130" s="28" t="str">
        <x:f>"595 | 596 | 597"</x:f>
        <x:v>595 | 596 | 597</x:v>
      </x:c>
      <x:c r="O130" s="27" t="str"/>
      <x:c r="P130" s="27" t="str"/>
    </x:row>
    <x:row r="131">
      <x:c r="A131" s="28" t="str">
        <x:f>"DUP-050"</x:f>
        <x:v>DUP-050</x:v>
      </x:c>
      <x:c r="B131" s="22" t="str">
        <x:v>MEROPENEM</x:v>
      </x:c>
      <x:c r="C131" s="22" t="str">
        <x:v>500MG CAIXA CX 10 CX CONTEUDO10 FATOR10</x:v>
      </x:c>
      <x:c r="D131" s="22" t="n">
        <x:v>2</x:v>
      </x:c>
      <x:c r="E131" s="22" t="str">
        <x:v>MÉDIO</x:v>
      </x:c>
      <x:c r="F131" s="22" t="str">
        <x:v>Mesma especificação; decidir se marca/fabricante separa o SKU</x:v>
      </x:c>
      <x:c r="G131" s="28" t="str">
        <x:f>"M1C0001"</x:f>
        <x:v>M1C0001</x:v>
      </x:c>
      <x:c r="H131" s="22" t="str">
        <x:v>MEROPENEM 500MG CX/10 - FRESENIUS</x:v>
      </x:c>
      <x:c r="I131" s="22" t="str">
        <x:v>500MG</x:v>
      </x:c>
      <x:c r="J131" s="22" t="str"/>
      <x:c r="K131" s="22" t="str">
        <x:v>CX/10 | CX | CONTEUDO10 | FATOR10</x:v>
      </x:c>
      <x:c r="L131" s="22" t="str">
        <x:v>FRESENIUS</x:v>
      </x:c>
      <x:c r="M131" s="28" t="str">
        <x:f>"GTIN: 7898560664175"</x:f>
        <x:v>GTIN: 7898560664175</x:v>
      </x:c>
      <x:c r="N131" s="28" t="str">
        <x:f>"600"</x:f>
        <x:v>600</x:v>
      </x:c>
      <x:c r="O131" s="27" t="str"/>
      <x:c r="P131" s="27" t="str"/>
    </x:row>
    <x:row r="132">
      <x:c r="A132" s="28" t="str">
        <x:f>"DUP-051"</x:f>
        <x:v>DUP-051</x:v>
      </x:c>
      <x:c r="B132" s="22" t="str">
        <x:v>MIDAZOLAM</x:v>
      </x:c>
      <x:c r="C132" s="22" t="str">
        <x:v>15MG 3ML 15MG 3ML UNIDADE AP UN</x:v>
      </x:c>
      <x:c r="D132" s="22" t="n">
        <x:v>2</x:v>
      </x:c>
      <x:c r="E132" s="22" t="str">
        <x:v>MÉDIO</x:v>
      </x:c>
      <x:c r="F132" s="22" t="str">
        <x:v>Mesma especificação; decidir se marca/fabricante separa o SKU</x:v>
      </x:c>
      <x:c r="G132" s="28" t="str">
        <x:f>"M1A0004"</x:f>
        <x:v>M1A0004</x:v>
      </x:c>
      <x:c r="H132" s="22" t="str">
        <x:v>MIDAZOLAM 15MG/3ML AP - HIPOLABOR</x:v>
      </x:c>
      <x:c r="I132" s="22" t="str">
        <x:v>15MG/3ML | 15MG | 3ML</x:v>
      </x:c>
      <x:c r="J132" s="22" t="str"/>
      <x:c r="K132" s="22" t="str">
        <x:v>AP | UN</x:v>
      </x:c>
      <x:c r="L132" s="22" t="str">
        <x:v>HIPOLABOR</x:v>
      </x:c>
      <x:c r="M132" s="28" t="str"/>
      <x:c r="N132" s="28" t="str">
        <x:f>"607"</x:f>
        <x:v>607</x:v>
      </x:c>
      <x:c r="O132" s="27" t="str"/>
      <x:c r="P132" s="27" t="str"/>
    </x:row>
    <x:row r="133">
      <x:c r="A133" s="28" t="str">
        <x:f>"DUP-051"</x:f>
        <x:v>DUP-051</x:v>
      </x:c>
      <x:c r="B133" s="22" t="str">
        <x:v>MIDAZOLAM</x:v>
      </x:c>
      <x:c r="C133" s="22" t="str">
        <x:v>15MG 3ML 15MG 3ML UNIDADE AP UN</x:v>
      </x:c>
      <x:c r="D133" s="22" t="n">
        <x:v>2</x:v>
      </x:c>
      <x:c r="E133" s="22" t="str">
        <x:v>MÉDIO</x:v>
      </x:c>
      <x:c r="F133" s="22" t="str">
        <x:v>Mesma especificação; decidir se marca/fabricante separa o SKU</x:v>
      </x:c>
      <x:c r="G133" s="28" t="str">
        <x:f>"M1A0001"</x:f>
        <x:v>M1A0001</x:v>
      </x:c>
      <x:c r="H133" s="22" t="str">
        <x:v>MIDAZOLAM 15MG/3ML AP - TEUTO</x:v>
      </x:c>
      <x:c r="I133" s="22" t="str">
        <x:v>15MG/3ML | 15MG | 3ML</x:v>
      </x:c>
      <x:c r="J133" s="22" t="str"/>
      <x:c r="K133" s="22" t="str">
        <x:v>AP | UN</x:v>
      </x:c>
      <x:c r="L133" s="22" t="str">
        <x:v>TEUTO</x:v>
      </x:c>
      <x:c r="M133" s="28" t="str"/>
      <x:c r="N133" s="28" t="str">
        <x:f>"608 | 609"</x:f>
        <x:v>608 | 609</x:v>
      </x:c>
      <x:c r="O133" s="27" t="str"/>
      <x:c r="P133" s="27" t="str"/>
    </x:row>
    <x:row r="134">
      <x:c r="A134" s="28" t="str">
        <x:f>"DUP-052"</x:f>
        <x:v>DUP-052</x:v>
      </x:c>
      <x:c r="B134" s="22" t="str">
        <x:v>NITROPRUSSETO SODIO</x:v>
      </x:c>
      <x:c r="C134" s="22" t="str">
        <x:v>50MG 2ML 50MG 2ML CAIXA CX 5 CX CONTEUDO5 FATOR5</x:v>
      </x:c>
      <x:c r="D134" s="22" t="n">
        <x:v>2</x:v>
      </x:c>
      <x:c r="E134" s="22" t="str">
        <x:v>BAIXO</x:v>
      </x:c>
      <x:c r="F134" s="22" t="str">
        <x:v>Mesma especificação; decidir se marca/fabricante separa o SKU</x:v>
      </x:c>
      <x:c r="G134" s="28" t="str">
        <x:f>"N2-0005"</x:f>
        <x:v>N2-0005</x:v>
      </x:c>
      <x:c r="H134" s="22" t="str">
        <x:v>NITROPRUSSETO DE SÓDIO 50MG/2ML - CX/5 - CRISTÁLIA</x:v>
      </x:c>
      <x:c r="I134" s="22" t="str">
        <x:v>50MG/2ML | 50MG | 2ML</x:v>
      </x:c>
      <x:c r="J134" s="22" t="str"/>
      <x:c r="K134" s="22" t="str">
        <x:v>CX/5 | CX | CONTEUDO5 | FATOR5</x:v>
      </x:c>
      <x:c r="L134" s="22" t="str">
        <x:v>CRISTÁLIA</x:v>
      </x:c>
      <x:c r="M134" s="28" t="str">
        <x:f>"GTIN: 7896676403688"</x:f>
        <x:v>GTIN: 7896676403688</x:v>
      </x:c>
      <x:c r="N134" s="28" t="str">
        <x:f>"628"</x:f>
        <x:v>628</x:v>
      </x:c>
      <x:c r="O134" s="27" t="str"/>
      <x:c r="P134" s="27" t="str"/>
    </x:row>
    <x:row r="135">
      <x:c r="A135" s="28" t="str">
        <x:f>"DUP-052"</x:f>
        <x:v>DUP-052</x:v>
      </x:c>
      <x:c r="B135" s="22" t="str">
        <x:v>NITROPRUSSETO SODIO</x:v>
      </x:c>
      <x:c r="C135" s="22" t="str">
        <x:v>50MG 2ML 50MG 2ML CAIXA CX 5 CX CONTEUDO5 FATOR5</x:v>
      </x:c>
      <x:c r="D135" s="22" t="n">
        <x:v>2</x:v>
      </x:c>
      <x:c r="E135" s="22" t="str">
        <x:v>BAIXO</x:v>
      </x:c>
      <x:c r="F135" s="22" t="str">
        <x:v>Mesma especificação; decidir se marca/fabricante separa o SKU</x:v>
      </x:c>
      <x:c r="G135" s="28" t="str">
        <x:f>"NS50001"</x:f>
        <x:v>NS50001</x:v>
      </x:c>
      <x:c r="H135" s="22" t="str">
        <x:v>NITROPRUSSETO DE SÓDIO 50MG/2ML - CX/5 - HYPOFARMA</x:v>
      </x:c>
      <x:c r="I135" s="22" t="str">
        <x:v>50MG/2ML | 50MG | 2ML</x:v>
      </x:c>
      <x:c r="J135" s="22" t="str"/>
      <x:c r="K135" s="22" t="str">
        <x:v>CX/5 | CX | CONTEUDO5 | FATOR5</x:v>
      </x:c>
      <x:c r="L135" s="22" t="str">
        <x:v>HYPOFARMA</x:v>
      </x:c>
      <x:c r="M135" s="28" t="str">
        <x:f>"GTIN: 7896676403688"</x:f>
        <x:v>GTIN: 7896676403688</x:v>
      </x:c>
      <x:c r="N135" s="28" t="str">
        <x:f>"629"</x:f>
        <x:v>629</x:v>
      </x:c>
      <x:c r="O135" s="27" t="str"/>
      <x:c r="P135" s="27" t="str"/>
    </x:row>
    <x:row r="136">
      <x:c r="A136" s="28" t="str">
        <x:f>"DUP-053"</x:f>
        <x:v>DUP-053</x:v>
      </x:c>
      <x:c r="B136" s="22" t="str">
        <x:v>PAPEL LENCOL RL BRANCO</x:v>
      </x:c>
      <x:c r="C136" s="22" t="str">
        <x:v>70X50CM CAIXA CX 10 CX CONTEUDO10 FATOR10</x:v>
      </x:c>
      <x:c r="D136" s="22" t="n">
        <x:v>2</x:v>
      </x:c>
      <x:c r="E136" s="22" t="str">
        <x:v>BAIXO</x:v>
      </x:c>
      <x:c r="F136" s="22" t="str">
        <x:v>Mesma especificação; decidir se marca/fabricante separa o SKU</x:v>
      </x:c>
      <x:c r="G136" s="28" t="str">
        <x:f>"PL70001"</x:f>
        <x:v>PL70001</x:v>
      </x:c>
      <x:c r="H136" s="22" t="str">
        <x:v>PAPEL LENÇOL 70X50 CM - CX/10 RL BRANCO - CLEAN</x:v>
      </x:c>
      <x:c r="I136" s="22" t="str"/>
      <x:c r="J136" s="22" t="str">
        <x:v>70X50CM</x:v>
      </x:c>
      <x:c r="K136" s="22" t="str">
        <x:v>CX/10 | CX | CONTEUDO10 | FATOR10</x:v>
      </x:c>
      <x:c r="L136" s="22" t="str">
        <x:v>CLEAN</x:v>
      </x:c>
      <x:c r="M136" s="28" t="str"/>
      <x:c r="N136" s="28" t="str">
        <x:f>"639"</x:f>
        <x:v>639</x:v>
      </x:c>
      <x:c r="O136" s="27" t="str"/>
      <x:c r="P136" s="27" t="str"/>
    </x:row>
    <x:row r="137">
      <x:c r="A137" s="28" t="str">
        <x:f>"DUP-053"</x:f>
        <x:v>DUP-053</x:v>
      </x:c>
      <x:c r="B137" s="22" t="str">
        <x:v>PAPEL LENCOL RL BRANCO</x:v>
      </x:c>
      <x:c r="C137" s="22" t="str">
        <x:v>70X50CM CAIXA CX 10 CX CONTEUDO10 FATOR10</x:v>
      </x:c>
      <x:c r="D137" s="22" t="n">
        <x:v>2</x:v>
      </x:c>
      <x:c r="E137" s="22" t="str">
        <x:v>BAIXO</x:v>
      </x:c>
      <x:c r="F137" s="22" t="str">
        <x:v>Mesma especificação; decidir se marca/fabricante separa o SKU</x:v>
      </x:c>
      <x:c r="G137" s="28" t="str">
        <x:f>"PL50001"</x:f>
        <x:v>PL50001</x:v>
      </x:c>
      <x:c r="H137" s="22" t="str">
        <x:v>PAPEL LENÇOL 70X50 CM CX/10 RL BRANCO - BELIPEL CIPEL</x:v>
      </x:c>
      <x:c r="I137" s="22" t="str"/>
      <x:c r="J137" s="22" t="str">
        <x:v>70X50CM</x:v>
      </x:c>
      <x:c r="K137" s="22" t="str">
        <x:v>CX/10 | CX | CONTEUDO10 | FATOR10</x:v>
      </x:c>
      <x:c r="L137" s="22" t="str">
        <x:v>BELIPEL CIPEL</x:v>
      </x:c>
      <x:c r="M137" s="28" t="str"/>
      <x:c r="N137" s="28" t="str">
        <x:f>"640"</x:f>
        <x:v>640</x:v>
      </x:c>
      <x:c r="O137" s="27" t="str"/>
      <x:c r="P137" s="27" t="str"/>
    </x:row>
    <x:row r="138">
      <x:c r="A138" s="28" t="str">
        <x:f>"DUP-054"</x:f>
        <x:v>DUP-054</x:v>
      </x:c>
      <x:c r="B138" s="22" t="str">
        <x:v>SACARATO OXIDO FERRICO</x:v>
      </x:c>
      <x:c r="C138" s="22" t="str">
        <x:v>20MG ML 20MG 5ML UNIDADE AP CX 50 UN</x:v>
      </x:c>
      <x:c r="D138" s="22" t="n">
        <x:v>2</x:v>
      </x:c>
      <x:c r="E138" s="22" t="str">
        <x:v>BAIXO</x:v>
      </x:c>
      <x:c r="F138" s="22" t="str">
        <x:v>Mesma especificação; decidir se marca/fabricante separa o SKU</x:v>
      </x:c>
      <x:c r="G138" s="28" t="str">
        <x:f>"SÓF0002"</x:f>
        <x:v>SÓF0002</x:v>
      </x:c>
      <x:c r="H138" s="22" t="str">
        <x:v>SACARATO DE ÓXIDO FÉRRICO 20MG/ML 5ML AP CX/50 - BLAU</x:v>
      </x:c>
      <x:c r="I138" s="22" t="str">
        <x:v>20MG/ML | 20MG | 5ML</x:v>
      </x:c>
      <x:c r="J138" s="22" t="str"/>
      <x:c r="K138" s="22" t="str">
        <x:v>AP | CX/50 | UN</x:v>
      </x:c>
      <x:c r="L138" s="22" t="str">
        <x:v>BLAU</x:v>
      </x:c>
      <x:c r="M138" s="28" t="str">
        <x:f>"GTIN: 7896014673100"</x:f>
        <x:v>GTIN: 7896014673100</x:v>
      </x:c>
      <x:c r="N138" s="28" t="str">
        <x:f>"669"</x:f>
        <x:v>669</x:v>
      </x:c>
      <x:c r="O138" s="27" t="str"/>
      <x:c r="P138" s="27" t="str"/>
    </x:row>
    <x:row r="139">
      <x:c r="A139" s="28" t="str">
        <x:f>"DUP-054"</x:f>
        <x:v>DUP-054</x:v>
      </x:c>
      <x:c r="B139" s="22" t="str">
        <x:v>SACARATO OXIDO FERRICO</x:v>
      </x:c>
      <x:c r="C139" s="22" t="str">
        <x:v>20MG ML 20MG 5ML UNIDADE AP CX 50 UN</x:v>
      </x:c>
      <x:c r="D139" s="22" t="n">
        <x:v>2</x:v>
      </x:c>
      <x:c r="E139" s="22" t="str">
        <x:v>BAIXO</x:v>
      </x:c>
      <x:c r="F139" s="22" t="str">
        <x:v>Mesma especificação; decidir se marca/fabricante separa o SKU</x:v>
      </x:c>
      <x:c r="G139" s="28" t="str">
        <x:f>"SÓF0001"</x:f>
        <x:v>SÓF0001</x:v>
      </x:c>
      <x:c r="H139" s="22" t="str">
        <x:v>SACARATO DE ÓXIDO FÉRRICO 20MG/ML 5ML AP CX/50 - VMG</x:v>
      </x:c>
      <x:c r="I139" s="22" t="str">
        <x:v>20MG/ML | 20MG | 5ML</x:v>
      </x:c>
      <x:c r="J139" s="22" t="str"/>
      <x:c r="K139" s="22" t="str">
        <x:v>AP | CX/50 | UN</x:v>
      </x:c>
      <x:c r="L139" s="22" t="str">
        <x:v>VMG</x:v>
      </x:c>
      <x:c r="M139" s="28" t="str"/>
      <x:c r="N139" s="28" t="str">
        <x:f>"670"</x:f>
        <x:v>670</x:v>
      </x:c>
      <x:c r="O139" s="27" t="str"/>
      <x:c r="P139" s="27" t="str"/>
    </x:row>
    <x:row r="140">
      <x:c r="A140" s="28" t="str">
        <x:f>"DUP-055"</x:f>
        <x:v>DUP-055</x:v>
      </x:c>
      <x:c r="B140" s="22" t="str">
        <x:v>SEVOFLURANO</x:v>
      </x:c>
      <x:c r="C140" s="22" t="str">
        <x:v>250ML UNIDADE UND</x:v>
      </x:c>
      <x:c r="D140" s="22" t="n">
        <x:v>2</x:v>
      </x:c>
      <x:c r="E140" s="22" t="str">
        <x:v>BAIXO</x:v>
      </x:c>
      <x:c r="F140" s="22" t="str">
        <x:v>Mesma especificação; decidir se marca/fabricante separa o SKU</x:v>
      </x:c>
      <x:c r="G140" s="28" t="str">
        <x:f>"S2-0023"</x:f>
        <x:v>S2-0023</x:v>
      </x:c>
      <x:c r="H140" s="22" t="str">
        <x:v>SEVOFLURANO 250ML - CRISTALIA</x:v>
      </x:c>
      <x:c r="I140" s="22" t="str">
        <x:v>250ML</x:v>
      </x:c>
      <x:c r="J140" s="22" t="str"/>
      <x:c r="K140" s="22" t="str">
        <x:v>UND</x:v>
      </x:c>
      <x:c r="L140" s="22" t="str">
        <x:v>CRISTALIA</x:v>
      </x:c>
      <x:c r="M140" s="28" t="str"/>
      <x:c r="N140" s="28" t="str">
        <x:f>"697 | 705 | 706 | 707 | 708 | 709 | 710 | 711 | 712 | 713 | 714 | 715 | 716 | 717 | 718 | 719"</x:f>
        <x:v>697 | 705 | 706 | 707 | 708 | 709 | 710 | 711 | 712 | 713 | 714 | 715 | 716 | 717 | 718 | 719</x:v>
      </x:c>
      <x:c r="O140" s="27" t="str"/>
      <x:c r="P140" s="27" t="str"/>
    </x:row>
    <x:row r="141">
      <x:c r="A141" s="28" t="str">
        <x:f>"DUP-055"</x:f>
        <x:v>DUP-055</x:v>
      </x:c>
      <x:c r="B141" s="22" t="str">
        <x:v>SEVOFLURANO</x:v>
      </x:c>
      <x:c r="C141" s="22" t="str">
        <x:v>250ML UNIDADE UND</x:v>
      </x:c>
      <x:c r="D141" s="22" t="n">
        <x:v>2</x:v>
      </x:c>
      <x:c r="E141" s="22" t="str">
        <x:v>BAIXO</x:v>
      </x:c>
      <x:c r="F141" s="22" t="str">
        <x:v>Mesma especificação; decidir se marca/fabricante separa o SKU</x:v>
      </x:c>
      <x:c r="G141" s="28" t="str">
        <x:f>"S2-0013"</x:f>
        <x:v>S2-0013</x:v>
      </x:c>
      <x:c r="H141" s="22" t="str">
        <x:v>SEVOFLURANO 250ML - UNIÃO QUIMICA</x:v>
      </x:c>
      <x:c r="I141" s="22" t="str">
        <x:v>250ML</x:v>
      </x:c>
      <x:c r="J141" s="22" t="str"/>
      <x:c r="K141" s="22" t="str">
        <x:v>UND</x:v>
      </x:c>
      <x:c r="L141" s="22" t="str">
        <x:v>UNIÃO QUIMICA</x:v>
      </x:c>
      <x:c r="M141" s="28" t="str"/>
      <x:c r="N141" s="28" t="str">
        <x:f>"698 | 699 | 700 | 701 | 702 | 703 | 704 | 720 | 721 | 722 | 723"</x:f>
        <x:v>698 | 699 | 700 | 701 | 702 | 703 | 704 | 720 | 721 | 722 | 723</x:v>
      </x:c>
      <x:c r="O141" s="27" t="str"/>
      <x:c r="P141" s="27" t="str"/>
    </x:row>
    <x:row r="142">
      <x:c r="A142" s="28" t="str">
        <x:f>"DUP-056"</x:f>
        <x:v>DUP-056</x:v>
      </x:c>
      <x:c r="B142" s="22" t="str">
        <x:v>SEVOFLURANO SEVONESS</x:v>
      </x:c>
      <x:c r="C142" s="22" t="str">
        <x:v>250ML UNIDADE UND</x:v>
      </x:c>
      <x:c r="D142" s="22" t="n">
        <x:v>2</x:v>
      </x:c>
      <x:c r="E142" s="22" t="str">
        <x:v>BAIXO</x:v>
      </x:c>
      <x:c r="F142" s="22" t="str">
        <x:v>Mesma especificação; decidir se marca/fabricante separa o SKU</x:v>
      </x:c>
      <x:c r="G142" s="28" t="str">
        <x:f>"SS20008"</x:f>
        <x:v>SS20008</x:v>
      </x:c>
      <x:c r="H142" s="22" t="str">
        <x:v>SEVOFLURANO SEVONESS 250ML - BAXTER</x:v>
      </x:c>
      <x:c r="I142" s="22" t="str">
        <x:v>250ML</x:v>
      </x:c>
      <x:c r="J142" s="22" t="str"/>
      <x:c r="K142" s="22" t="str">
        <x:v>UND</x:v>
      </x:c>
      <x:c r="L142" s="22" t="str">
        <x:v>BAXTER</x:v>
      </x:c>
      <x:c r="M142" s="28" t="str">
        <x:f>"GTIN: 07896006209980"</x:f>
        <x:v>GTIN: 07896006209980</x:v>
      </x:c>
      <x:c r="N142" s="28" t="str">
        <x:f>"724 | 725 | 726 | 727 | 728 | 729 | 730"</x:f>
        <x:v>724 | 725 | 726 | 727 | 728 | 729 | 730</x:v>
      </x:c>
      <x:c r="O142" s="27" t="str"/>
      <x:c r="P142" s="27" t="str"/>
    </x:row>
    <x:row r="143">
      <x:c r="A143" s="28" t="str">
        <x:f>"DUP-056"</x:f>
        <x:v>DUP-056</x:v>
      </x:c>
      <x:c r="B143" s="22" t="str">
        <x:v>SEVOFLURANO SEVONESS</x:v>
      </x:c>
      <x:c r="C143" s="22" t="str">
        <x:v>250ML UNIDADE UND</x:v>
      </x:c>
      <x:c r="D143" s="22" t="n">
        <x:v>2</x:v>
      </x:c>
      <x:c r="E143" s="22" t="str">
        <x:v>BAIXO</x:v>
      </x:c>
      <x:c r="F143" s="22" t="str">
        <x:v>Mesma especificação; decidir se marca/fabricante separa o SKU</x:v>
      </x:c>
      <x:c r="G143" s="28" t="str">
        <x:f>"SS20007"</x:f>
        <x:v>SS20007</x:v>
      </x:c>
      <x:c r="H143" s="22" t="str">
        <x:v>SEVOFLURANO SEVONESS 250ML - BIOCHIMICO</x:v>
      </x:c>
      <x:c r="I143" s="22" t="str">
        <x:v>250ML</x:v>
      </x:c>
      <x:c r="J143" s="22" t="str"/>
      <x:c r="K143" s="22" t="str">
        <x:v>UND</x:v>
      </x:c>
      <x:c r="L143" s="22" t="str">
        <x:v>BIOCHIMICO</x:v>
      </x:c>
      <x:c r="M143" s="28" t="str"/>
      <x:c r="N143" s="28" t="str">
        <x:f>"731 | 732 | 733"</x:f>
        <x:v>731 | 732 | 733</x:v>
      </x:c>
      <x:c r="O143" s="27" t="str"/>
      <x:c r="P143" s="27" t="str"/>
    </x:row>
    <x:row r="144">
      <x:c r="A144" s="28" t="str">
        <x:f>"DUP-057"</x:f>
        <x:v>DUP-057</x:v>
      </x:c>
      <x:c r="B144" s="22" t="str">
        <x:v>SONDA ENDOTRAQUEAL ARAMADA COM BALAO</x:v>
      </x:c>
      <x:c r="C144" s="22" t="str">
        <x:v>CAIXA CX 10 CX CONTEUDO10 FATOR10</x:v>
      </x:c>
      <x:c r="D144" s="22" t="n">
        <x:v>2</x:v>
      </x:c>
      <x:c r="E144" s="22" t="str">
        <x:v>BAIXO</x:v>
      </x:c>
      <x:c r="F144" s="22" t="str">
        <x:v>Mesma especificação com GTIN diferente; revisar cadastro</x:v>
      </x:c>
      <x:c r="G144" s="28" t="str">
        <x:f>"SE50002"</x:f>
        <x:v>SE50002</x:v>
      </x:c>
      <x:c r="H144" s="22" t="str">
        <x:v>SONDA ENDOTRAQUEAL 5.0 ARAMADA COM BALÃO - CX/10 - WELLEAD</x:v>
      </x:c>
      <x:c r="I144" s="22" t="str"/>
      <x:c r="J144" s="22" t="str"/>
      <x:c r="K144" s="22" t="str">
        <x:v>CX/10 | CX | CONTEUDO10 | FATOR10</x:v>
      </x:c>
      <x:c r="L144" s="22" t="str">
        <x:v>WELLEAD</x:v>
      </x:c>
      <x:c r="M144" s="28" t="str">
        <x:f>"GTIN: 7898157722509"</x:f>
        <x:v>GTIN: 7898157722509</x:v>
      </x:c>
      <x:c r="N144" s="28" t="str">
        <x:f>"742"</x:f>
        <x:v>742</x:v>
      </x:c>
      <x:c r="O144" s="27" t="str"/>
      <x:c r="P144" s="27" t="str"/>
    </x:row>
    <x:row r="145">
      <x:c r="A145" s="28" t="str">
        <x:f>"DUP-057"</x:f>
        <x:v>DUP-057</x:v>
      </x:c>
      <x:c r="B145" s="22" t="str">
        <x:v>SONDA ENDOTRAQUEAL ARAMADA COM BALAO</x:v>
      </x:c>
      <x:c r="C145" s="22" t="str">
        <x:v>CAIXA CX 10 CX CONTEUDO10 FATOR10</x:v>
      </x:c>
      <x:c r="D145" s="22" t="n">
        <x:v>2</x:v>
      </x:c>
      <x:c r="E145" s="22" t="str">
        <x:v>BAIXO</x:v>
      </x:c>
      <x:c r="F145" s="22" t="str">
        <x:v>Mesma especificação com GTIN diferente; revisar cadastro</x:v>
      </x:c>
      <x:c r="G145" s="28" t="str">
        <x:f>"SE50003"</x:f>
        <x:v>SE50003</x:v>
      </x:c>
      <x:c r="H145" s="22" t="str">
        <x:v>SONDA ENDOTRAQUEAL 5.5 ARAMADA COM BALÃO - CX/10 - WELLEAD</x:v>
      </x:c>
      <x:c r="I145" s="22" t="str"/>
      <x:c r="J145" s="22" t="str"/>
      <x:c r="K145" s="22" t="str">
        <x:v>CX/10 | CX | CONTEUDO10 | FATOR10</x:v>
      </x:c>
      <x:c r="L145" s="22" t="str">
        <x:v>WELLEAD</x:v>
      </x:c>
      <x:c r="M145" s="28" t="str">
        <x:f>"GTIN: 7899780169686"</x:f>
        <x:v>GTIN: 7899780169686</x:v>
      </x:c>
      <x:c r="N145" s="28" t="str">
        <x:f>"743"</x:f>
        <x:v>743</x:v>
      </x:c>
      <x:c r="O145" s="27" t="str"/>
      <x:c r="P145" s="27" t="str"/>
    </x:row>
    <x:row r="146">
      <x:c r="A146" s="28" t="str">
        <x:f>"DUP-058"</x:f>
        <x:v>DUP-058</x:v>
      </x:c>
      <x:c r="B146" s="22" t="str">
        <x:v>SULFATO EFEDRINA</x:v>
      </x:c>
      <x:c r="C146" s="22" t="str">
        <x:v>50MG ML 50MG 1ML CAIXA CX 25 CX CONTEUDO25 FATOR25</x:v>
      </x:c>
      <x:c r="D146" s="22" t="n">
        <x:v>2</x:v>
      </x:c>
      <x:c r="E146" s="22" t="str">
        <x:v>BAIXO</x:v>
      </x:c>
      <x:c r="F146" s="22" t="str">
        <x:v>Mesma especificação; decidir se marca/fabricante separa o SKU</x:v>
      </x:c>
      <x:c r="G146" s="28" t="str">
        <x:f>"SE50001"</x:f>
        <x:v>SE50001</x:v>
      </x:c>
      <x:c r="H146" s="22" t="str">
        <x:v>SULFATO DE EFEDRINA 50MG/ML 1ML - CX/25 - HIPOLABOR</x:v>
      </x:c>
      <x:c r="I146" s="22" t="str">
        <x:v>50MG/ML | 50MG | 1ML</x:v>
      </x:c>
      <x:c r="J146" s="22" t="str"/>
      <x:c r="K146" s="22" t="str">
        <x:v>CX/25 | CX | CONTEUDO25 | FATOR25</x:v>
      </x:c>
      <x:c r="L146" s="22" t="str">
        <x:v>HIPOLABOR</x:v>
      </x:c>
      <x:c r="M146" s="28" t="str">
        <x:f>"GTIN: 7896006238690"</x:f>
        <x:v>GTIN: 7896006238690</x:v>
      </x:c>
      <x:c r="N146" s="28" t="str">
        <x:f>"761"</x:f>
        <x:v>761</x:v>
      </x:c>
      <x:c r="O146" s="27" t="str"/>
      <x:c r="P146" s="27" t="str"/>
    </x:row>
    <x:row r="147">
      <x:c r="A147" s="28" t="str">
        <x:f>"DUP-058"</x:f>
        <x:v>DUP-058</x:v>
      </x:c>
      <x:c r="B147" s="22" t="str">
        <x:v>SULFATO EFEDRINA</x:v>
      </x:c>
      <x:c r="C147" s="22" t="str">
        <x:v>50MG ML 50MG 1ML CAIXA CX 25 CX CONTEUDO25 FATOR25</x:v>
      </x:c>
      <x:c r="D147" s="22" t="n">
        <x:v>2</x:v>
      </x:c>
      <x:c r="E147" s="22" t="str">
        <x:v>BAIXO</x:v>
      </x:c>
      <x:c r="F147" s="22" t="str">
        <x:v>Mesma especificação; decidir se marca/fabricante separa o SKU</x:v>
      </x:c>
      <x:c r="G147" s="28" t="str">
        <x:f>"SE50005"</x:f>
        <x:v>SE50005</x:v>
      </x:c>
      <x:c r="H147" s="22" t="str">
        <x:v>SULFATO DE EFEDRINA 50MG/ML 1ML - CX/25 - UNIÃO QUIMICA</x:v>
      </x:c>
      <x:c r="I147" s="22" t="str">
        <x:v>50MG/ML | 50MG | 1ML</x:v>
      </x:c>
      <x:c r="J147" s="22" t="str"/>
      <x:c r="K147" s="22" t="str">
        <x:v>CX/25 | CX | CONTEUDO25 | FATOR25</x:v>
      </x:c>
      <x:c r="L147" s="22" t="str">
        <x:v>UNIÃO QUIMICA</x:v>
      </x:c>
      <x:c r="M147" s="28" t="str">
        <x:f>"GTIN: 7896006238690"</x:f>
        <x:v>GTIN: 7896006238690</x:v>
      </x:c>
      <x:c r="N147" s="28" t="str">
        <x:f>"762 | 763 | 764 | 765"</x:f>
        <x:v>762 | 763 | 764 | 765</x:v>
      </x:c>
      <x:c r="O147" s="27" t="str"/>
      <x:c r="P147" s="27" t="str"/>
    </x:row>
    <x:row r="148">
      <x:c r="A148" s="28" t="str">
        <x:f>"DUP-059"</x:f>
        <x:v>DUP-059</x:v>
      </x:c>
      <x:c r="B148" s="22" t="str">
        <x:v>TOUCA BRANCA DESC SANFONADA ELASTICO</x:v>
      </x:c>
      <x:c r="C148" s="22" t="str">
        <x:v>OUTRA PCT 100 PC CONTEUDO100 FATOR100</x:v>
      </x:c>
      <x:c r="D148" s="22" t="n">
        <x:v>2</x:v>
      </x:c>
      <x:c r="E148" s="22" t="str">
        <x:v>BAIXO</x:v>
      </x:c>
      <x:c r="F148" s="22" t="str">
        <x:v>Mesma especificação; decidir se marca/fabricante separa o SKU</x:v>
      </x:c>
      <x:c r="G148" s="28" t="str">
        <x:f>"TBD0001"</x:f>
        <x:v>TBD0001</x:v>
      </x:c>
      <x:c r="H148" s="22" t="str">
        <x:v>TOUCA BRANCA DESC. SANFONADA C/ELASTICO - PCT/100 - ANADONA</x:v>
      </x:c>
      <x:c r="I148" s="22" t="str"/>
      <x:c r="J148" s="22" t="str"/>
      <x:c r="K148" s="22" t="str">
        <x:v>PCT/100 | PC | CONTEUDO100 | FATOR100</x:v>
      </x:c>
      <x:c r="L148" s="22" t="str">
        <x:v>ANADONA</x:v>
      </x:c>
      <x:c r="M148" s="28" t="str">
        <x:f>"GTIN: 7898433202565"</x:f>
        <x:v>GTIN: 7898433202565</x:v>
      </x:c>
      <x:c r="N148" s="28" t="str">
        <x:f>"799"</x:f>
        <x:v>799</x:v>
      </x:c>
      <x:c r="O148" s="27" t="str"/>
      <x:c r="P148" s="27" t="str"/>
    </x:row>
    <x:row r="149">
      <x:c r="A149" s="28" t="str">
        <x:f>"DUP-059"</x:f>
        <x:v>DUP-059</x:v>
      </x:c>
      <x:c r="B149" s="22" t="str">
        <x:v>TOUCA BRANCA DESC SANFONADA ELASTICO</x:v>
      </x:c>
      <x:c r="C149" s="22" t="str">
        <x:v>OUTRA PCT 100 PC CONTEUDO100 FATOR100</x:v>
      </x:c>
      <x:c r="D149" s="22" t="n">
        <x:v>2</x:v>
      </x:c>
      <x:c r="E149" s="22" t="str">
        <x:v>BAIXO</x:v>
      </x:c>
      <x:c r="F149" s="22" t="str">
        <x:v>Mesma especificação; decidir se marca/fabricante separa o SKU</x:v>
      </x:c>
      <x:c r="G149" s="28" t="str">
        <x:f>"TBD0004"</x:f>
        <x:v>TBD0004</x:v>
      </x:c>
      <x:c r="H149" s="22" t="str">
        <x:v>TOUCA BRANCA DESC. SANFONADA C/ELASTICO - PCT/100 - DEJAMARO</x:v>
      </x:c>
      <x:c r="I149" s="22" t="str"/>
      <x:c r="J149" s="22" t="str"/>
      <x:c r="K149" s="22" t="str">
        <x:v>PCT/100 | PC | CONTEUDO100 | FATOR100</x:v>
      </x:c>
      <x:c r="L149" s="22" t="str">
        <x:v>DEJAMARO</x:v>
      </x:c>
      <x:c r="M149" s="28" t="str"/>
      <x:c r="N149" s="28" t="str">
        <x:f>"800"</x:f>
        <x:v>800</x:v>
      </x:c>
      <x:c r="O149" s="27" t="str"/>
      <x:c r="P149" s="27" t="str"/>
    </x:row>
  </x:sheetData>
  <x:mergeCells>
    <x:mergeCell ref="A1:J1"/>
    <x:mergeCell ref="A2:J2"/>
  </x:mergeCells>
  <x:conditionalFormatting sqref="E5:E149">
    <x:cfRule type="containsText" dxfId="6" priority="1" operator="containsText" text="ALTO"/>
    <x:cfRule type="containsText" dxfId="7" priority="2" operator="containsText" text="MÉDIO"/>
    <x:cfRule type="containsText" dxfId="8" priority="3" operator="containsText" text="BAIXO"/>
  </x:conditionalFormatting>
  <x:pageMargins left="0.7" right="0.7" top="0.75" bottom="0.75" header="0.3" footer="0.3"/>
  <x:tableParts count="1">
    <x:tablePart xmlns:r="http://schemas.openxmlformats.org/officeDocument/2006/relationships" r:id="R7e37aeb227704a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58" hidden="0" customWidth="1"/>
    <x:col min="4" max="4" width="34" hidden="0" customWidth="1"/>
    <x:col min="5" max="5" width="28" hidden="0" customWidth="1"/>
    <x:col min="6" max="6" width="28" hidden="0" customWidth="1"/>
    <x:col min="7" max="7" width="24" hidden="0" customWidth="1"/>
    <x:col min="8" max="8" width="22" hidden="0" customWidth="1"/>
    <x:col min="9" max="9" width="16" hidden="0" customWidth="1"/>
    <x:col min="10" max="10" width="18" hidden="0" customWidth="1"/>
    <x:col min="11" max="11" width="18" hidden="0" customWidth="1"/>
    <x:col min="12" max="12" width="12" hidden="0" customWidth="1"/>
    <x:col min="13" max="13" width="14" hidden="0" customWidth="1"/>
    <x:col min="14" max="14" width="14" hidden="0" customWidth="1"/>
    <x:col min="15" max="15" width="10" hidden="0" customWidth="1"/>
    <x:col min="16" max="16" width="14" hidden="0" customWidth="1"/>
    <x:col min="17" max="17" width="24" hidden="0" customWidth="1"/>
  </x:cols>
  <x:sheetData>
    <x:row r="1" ht="28" customHeight="1">
      <x:c r="A1" s="3" t="str">
        <x:v>Catálogo normalizado para análise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Todos os 480 produtos do plano com campos extraídos do nome. Esta aba é a trilha de auditoria da análise.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26" t="str">
        <x:v>Seq</x:v>
      </x:c>
      <x:c r="B4" s="26" t="str">
        <x:v>Codigo</x:v>
      </x:c>
      <x:c r="C4" s="26" t="str">
        <x:v>Descricao_Atual</x:v>
      </x:c>
      <x:c r="D4" s="26" t="str">
        <x:v>Base_Normalizada</x:v>
      </x:c>
      <x:c r="E4" s="26" t="str">
        <x:v>Familia</x:v>
      </x:c>
      <x:c r="F4" s="26" t="str">
        <x:v>Dosagem_Volume_%</x:v>
      </x:c>
      <x:c r="G4" s="26" t="str">
        <x:v>Dimensao_Calibre</x:v>
      </x:c>
      <x:c r="H4" s="26" t="str">
        <x:v>Embalagem</x:v>
      </x:c>
      <x:c r="I4" s="26" t="str">
        <x:v>Apresentacao</x:v>
      </x:c>
      <x:c r="J4" s="26" t="str">
        <x:v>Marca</x:v>
      </x:c>
      <x:c r="K4" s="26" t="str">
        <x:v>GTIN</x:v>
      </x:c>
      <x:c r="L4" s="26" t="str">
        <x:v>NCM</x:v>
      </x:c>
      <x:c r="M4" s="26" t="str">
        <x:v>Unidade_Venda</x:v>
      </x:c>
      <x:c r="N4" s="26" t="str">
        <x:v>Unidade_Compra</x:v>
      </x:c>
      <x:c r="O4" s="26" t="str">
        <x:v>Fator</x:v>
      </x:c>
      <x:c r="P4" s="26" t="str">
        <x:v>Linhas_Fonte</x:v>
      </x:c>
      <x:c r="Q4" s="26" t="str">
        <x:v>Codigos_Fonte</x:v>
      </x:c>
    </x:row>
    <x:row r="5">
      <x:c r="A5" s="22" t="n">
        <x:v>1</x:v>
      </x:c>
      <x:c r="B5" s="28" t="str">
        <x:f>"AT50006"</x:f>
        <x:v>AT50006</x:v>
      </x:c>
      <x:c r="C5" s="22" t="str">
        <x:v>ACIDO TRANEXAMICO 250MG/5ML - CX/50 - ZYDUS</x:v>
      </x:c>
      <x:c r="D5" s="22" t="str">
        <x:v>ACIDO TRANEXAMICO</x:v>
      </x:c>
      <x:c r="E5" s="22" t="str">
        <x:v>ACIDO TRANEXAMICO</x:v>
      </x:c>
      <x:c r="F5" s="22" t="str">
        <x:v>250MG/5ML | 250MG | 5ML</x:v>
      </x:c>
      <x:c r="G5" s="22" t="str"/>
      <x:c r="H5" s="22" t="str">
        <x:v>CX/50 | CX | CONTEUDO50 | FATOR50</x:v>
      </x:c>
      <x:c r="I5" s="22" t="str">
        <x:v>CAIXA</x:v>
      </x:c>
      <x:c r="J5" s="22" t="str">
        <x:v>ZYDUS</x:v>
      </x:c>
      <x:c r="K5" s="28" t="str">
        <x:f>"GTIN: 7897460400364"</x:f>
        <x:v>GTIN: 7897460400364</x:v>
      </x:c>
      <x:c r="L5" s="28" t="str">
        <x:f>"30049039"</x:f>
        <x:v>30049039</x:v>
      </x:c>
      <x:c r="M5" s="22" t="str">
        <x:v>UN</x:v>
      </x:c>
      <x:c r="N5" s="22" t="str">
        <x:v>CX</x:v>
      </x:c>
      <x:c r="O5" s="22" t="n">
        <x:v>50</x:v>
      </x:c>
      <x:c r="P5" s="28" t="str">
        <x:f>"2"</x:f>
        <x:v>2</x:v>
      </x:c>
      <x:c r="Q5" s="28" t="str">
        <x:f>"AT50006"</x:f>
        <x:v>AT50006</x:v>
      </x:c>
    </x:row>
    <x:row r="6">
      <x:c r="A6" s="22" t="n">
        <x:v>2</x:v>
      </x:c>
      <x:c r="B6" s="28" t="str">
        <x:f>"AT50005"</x:f>
        <x:v>AT50005</x:v>
      </x:c>
      <x:c r="C6" s="22" t="str">
        <x:v>ACIDO TRANEXAMICO 50MG/5ML - CX/100 - HIPOLABOR (TRANSAMIN)</x:v>
      </x:c>
      <x:c r="D6" s="22" t="str">
        <x:v>ACIDO TRANEXAMICO</x:v>
      </x:c>
      <x:c r="E6" s="22" t="str">
        <x:v>ACIDO TRANEXAMICO</x:v>
      </x:c>
      <x:c r="F6" s="22" t="str">
        <x:v>50MG/5ML | 50MG | 5ML</x:v>
      </x:c>
      <x:c r="G6" s="22" t="str"/>
      <x:c r="H6" s="22" t="str">
        <x:v>CX/100 | CX | CONTEUDO100 | FATOR100</x:v>
      </x:c>
      <x:c r="I6" s="22" t="str">
        <x:v>CAIXA</x:v>
      </x:c>
      <x:c r="J6" s="22" t="str">
        <x:v>HIPOLABOR</x:v>
      </x:c>
      <x:c r="K6" s="28" t="str">
        <x:f>"GTIN: 7897460400364"</x:f>
        <x:v>GTIN: 7897460400364</x:v>
      </x:c>
      <x:c r="L6" s="28" t="str">
        <x:f>"30049039"</x:f>
        <x:v>30049039</x:v>
      </x:c>
      <x:c r="M6" s="22" t="str">
        <x:v>UN</x:v>
      </x:c>
      <x:c r="N6" s="22" t="str">
        <x:v>CX</x:v>
      </x:c>
      <x:c r="O6" s="22" t="n">
        <x:v>100</x:v>
      </x:c>
      <x:c r="P6" s="28" t="str">
        <x:f>"3"</x:f>
        <x:v>3</x:v>
      </x:c>
      <x:c r="Q6" s="28" t="str">
        <x:f>"AT50005"</x:f>
        <x:v>AT50005</x:v>
      </x:c>
    </x:row>
    <x:row r="7">
      <x:c r="A7" s="22" t="n">
        <x:v>3</x:v>
      </x:c>
      <x:c r="B7" s="28" t="str">
        <x:f>"AT50011"</x:f>
        <x:v>AT50011</x:v>
      </x:c>
      <x:c r="C7" s="22" t="str">
        <x:v>ACIDO TRANEXAMICO 50MG/5ML - CX/5 - ZIDUS (TRANSAMIN)</x:v>
      </x:c>
      <x:c r="D7" s="22" t="str">
        <x:v>ACIDO TRANEXAMICO</x:v>
      </x:c>
      <x:c r="E7" s="22" t="str">
        <x:v>ACIDO TRANEXAMICO</x:v>
      </x:c>
      <x:c r="F7" s="22" t="str">
        <x:v>50MG/5ML | 50MG | 5ML</x:v>
      </x:c>
      <x:c r="G7" s="22" t="str"/>
      <x:c r="H7" s="22" t="str">
        <x:v>CX/5 | CX | CONTEUDO5 | FATOR5</x:v>
      </x:c>
      <x:c r="I7" s="22" t="str">
        <x:v>CAIXA</x:v>
      </x:c>
      <x:c r="J7" s="22" t="str">
        <x:v>ZIDUS</x:v>
      </x:c>
      <x:c r="K7" s="28" t="str">
        <x:f>"GTIN: 7897460400364"</x:f>
        <x:v>GTIN: 7897460400364</x:v>
      </x:c>
      <x:c r="L7" s="28" t="str">
        <x:f>"30049039"</x:f>
        <x:v>30049039</x:v>
      </x:c>
      <x:c r="M7" s="22" t="str">
        <x:v>UN</x:v>
      </x:c>
      <x:c r="N7" s="22" t="str">
        <x:v>CX</x:v>
      </x:c>
      <x:c r="O7" s="22" t="n">
        <x:v>5</x:v>
      </x:c>
      <x:c r="P7" s="28" t="str">
        <x:f>"4 | 5"</x:f>
        <x:v>4 | 5</x:v>
      </x:c>
      <x:c r="Q7" s="28" t="str">
        <x:f>"AT50011 | AT50002"</x:f>
        <x:v>AT50011 | AT50002</x:v>
      </x:c>
    </x:row>
    <x:row r="8">
      <x:c r="A8" s="22" t="n">
        <x:v>4</x:v>
      </x:c>
      <x:c r="B8" s="28" t="str">
        <x:f>"AT50004"</x:f>
        <x:v>AT50004</x:v>
      </x:c>
      <x:c r="C8" s="22" t="str">
        <x:v>ACIDO TRANEXAMICO 50MG/5ML - CX/50 - BLAU (TRANSAMIN)</x:v>
      </x:c>
      <x:c r="D8" s="22" t="str">
        <x:v>ACIDO TRANEXAMICO</x:v>
      </x:c>
      <x:c r="E8" s="22" t="str">
        <x:v>ACIDO TRANEXAMICO</x:v>
      </x:c>
      <x:c r="F8" s="22" t="str">
        <x:v>50MG/5ML | 50MG | 5ML</x:v>
      </x:c>
      <x:c r="G8" s="22" t="str"/>
      <x:c r="H8" s="22" t="str">
        <x:v>CX/50 | CX | CONTEUDO50 | FATOR50</x:v>
      </x:c>
      <x:c r="I8" s="22" t="str">
        <x:v>CAIXA</x:v>
      </x:c>
      <x:c r="J8" s="22" t="str">
        <x:v>BLAU</x:v>
      </x:c>
      <x:c r="K8" s="28" t="str">
        <x:f>"GTIN: 7897460400364"</x:f>
        <x:v>GTIN: 7897460400364</x:v>
      </x:c>
      <x:c r="L8" s="28" t="str">
        <x:f>"30049039"</x:f>
        <x:v>30049039</x:v>
      </x:c>
      <x:c r="M8" s="22" t="str">
        <x:v>UN</x:v>
      </x:c>
      <x:c r="N8" s="22" t="str">
        <x:v>CX</x:v>
      </x:c>
      <x:c r="O8" s="22" t="n">
        <x:v>50</x:v>
      </x:c>
      <x:c r="P8" s="28" t="str">
        <x:f>"6 | 7 | 8"</x:f>
        <x:v>6 | 7 | 8</x:v>
      </x:c>
      <x:c r="Q8" s="28" t="str">
        <x:f>"AT50001 | AT50003 | AT50004"</x:f>
        <x:v>AT50001 | AT50003 | AT50004</x:v>
      </x:c>
    </x:row>
    <x:row r="9">
      <x:c r="A9" s="22" t="n">
        <x:v>5</x:v>
      </x:c>
      <x:c r="B9" s="28" t="str">
        <x:f>"AA50002"</x:f>
        <x:v>AA50002</x:v>
      </x:c>
      <x:c r="C9" s="22" t="str">
        <x:v>ACTILYSE ALTEPLASE 50MG/50ML - BOEHRINGER</x:v>
      </x:c>
      <x:c r="D9" s="22" t="str">
        <x:v>ACTILYSE ALTEPLASE</x:v>
      </x:c>
      <x:c r="E9" s="22" t="str">
        <x:v>ACTILYSE ALTEPLASE</x:v>
      </x:c>
      <x:c r="F9" s="22" t="str">
        <x:v>50MG/50ML | 50MG | 50ML</x:v>
      </x:c>
      <x:c r="G9" s="22" t="str"/>
      <x:c r="H9" s="22" t="str">
        <x:v>CX | CONTEUDO1</x:v>
      </x:c>
      <x:c r="I9" s="22" t="str">
        <x:v>CAIXA</x:v>
      </x:c>
      <x:c r="J9" s="22" t="str">
        <x:v>BOEHRINGER</x:v>
      </x:c>
      <x:c r="K9" s="28" t="str">
        <x:f>"GTIN: 5012816002098"</x:f>
        <x:v>GTIN: 5012816002098</x:v>
      </x:c>
      <x:c r="L9" s="28" t="str"/>
      <x:c r="M9" s="22" t="str">
        <x:v>UN</x:v>
      </x:c>
      <x:c r="N9" s="22" t="str">
        <x:v>CX</x:v>
      </x:c>
      <x:c r="O9" s="22" t="n">
        <x:v>1</x:v>
      </x:c>
      <x:c r="P9" s="28" t="str">
        <x:f>"9 | 10 | 11"</x:f>
        <x:v>9 | 10 | 11</x:v>
      </x:c>
      <x:c r="Q9" s="28" t="str">
        <x:f>"AA50001 | AA50002 | AA50003"</x:f>
        <x:v>AA50001 | AA50002 | AA50003</x:v>
      </x:c>
    </x:row>
    <x:row r="10">
      <x:c r="A10" s="22" t="n">
        <x:v>6</x:v>
      </x:c>
      <x:c r="B10" s="28" t="str">
        <x:f>"AH10001"</x:f>
        <x:v>AH10001</x:v>
      </x:c>
      <x:c r="C10" s="22" t="str">
        <x:v>ADRENALINA HYFREN 1ML AP CX/100 - HYPOFARMA</x:v>
      </x:c>
      <x:c r="D10" s="22" t="str">
        <x:v>ADRENALINA HYFREN</x:v>
      </x:c>
      <x:c r="E10" s="22" t="str">
        <x:v>ADRENALINA HYFREN</x:v>
      </x:c>
      <x:c r="F10" s="22" t="str">
        <x:v>1ML</x:v>
      </x:c>
      <x:c r="G10" s="22" t="str"/>
      <x:c r="H10" s="22" t="str">
        <x:v>AP | CX/100 | CX | CONTEUDO100 | FATOR100</x:v>
      </x:c>
      <x:c r="I10" s="22" t="str">
        <x:v>CAIXA</x:v>
      </x:c>
      <x:c r="J10" s="22" t="str">
        <x:v>HYPOFARMA</x:v>
      </x:c>
      <x:c r="K10" s="28" t="str"/>
      <x:c r="L10" s="28" t="str">
        <x:f>"30049099"</x:f>
        <x:v>30049099</x:v>
      </x:c>
      <x:c r="M10" s="22" t="str">
        <x:v>UN</x:v>
      </x:c>
      <x:c r="N10" s="22" t="str">
        <x:v>CX</x:v>
      </x:c>
      <x:c r="O10" s="22" t="n">
        <x:v>100</x:v>
      </x:c>
      <x:c r="P10" s="28" t="str">
        <x:f>"12"</x:f>
        <x:v>12</x:v>
      </x:c>
      <x:c r="Q10" s="28" t="str">
        <x:f>"AH10001"</x:f>
        <x:v>AH10001</x:v>
      </x:c>
    </x:row>
    <x:row r="11">
      <x:c r="A11" s="22" t="n">
        <x:v>7</x:v>
      </x:c>
      <x:c r="B11" s="28" t="str">
        <x:f>"ÁD10004"</x:f>
        <x:v>ÁD10004</x:v>
      </x:c>
      <x:c r="C11" s="22" t="str">
        <x:v>ÁGUA BIDESTILADA 1000ML BOLSA P/ INJ - HALEXISTAR</x:v>
      </x:c>
      <x:c r="D11" s="22" t="str">
        <x:v>AGUA BIDESTILADA INJ</x:v>
      </x:c>
      <x:c r="E11" s="22" t="str">
        <x:v>AGUA BIDESTILADA INJ</x:v>
      </x:c>
      <x:c r="F11" s="22" t="str">
        <x:v>1000ML</x:v>
      </x:c>
      <x:c r="G11" s="22" t="str"/>
      <x:c r="H11" s="22" t="str">
        <x:v>BOLSA</x:v>
      </x:c>
      <x:c r="I11" s="22" t="str">
        <x:v>BOLSA</x:v>
      </x:c>
      <x:c r="J11" s="22" t="str">
        <x:v>HALEXISTAR</x:v>
      </x:c>
      <x:c r="K11" s="28" t="str"/>
      <x:c r="L11" s="28" t="str">
        <x:f>"30049099"</x:f>
        <x:v>30049099</x:v>
      </x:c>
      <x:c r="M11" s="22" t="str">
        <x:v>BOLSA</x:v>
      </x:c>
      <x:c r="N11" s="22" t="str">
        <x:v>BOLSA</x:v>
      </x:c>
      <x:c r="O11" s="22" t="n">
        <x:v>1</x:v>
      </x:c>
      <x:c r="P11" s="28" t="str">
        <x:f>"13"</x:f>
        <x:v>13</x:v>
      </x:c>
      <x:c r="Q11" s="28" t="str">
        <x:f>"ÁD10004"</x:f>
        <x:v>ÁD10004</x:v>
      </x:c>
    </x:row>
    <x:row r="12">
      <x:c r="A12" s="22" t="n">
        <x:v>8</x:v>
      </x:c>
      <x:c r="B12" s="28" t="str">
        <x:f>"CS00019"</x:f>
        <x:v>CS00019</x:v>
      </x:c>
      <x:c r="C12" s="22" t="str">
        <x:v>AGUA BIDESTILADA P/ INJEÇÃO 1000ML FR - FRESENIUS</x:v>
      </x:c>
      <x:c r="D12" s="22" t="str">
        <x:v>AGUA BIDESTILADA INJECAO</x:v>
      </x:c>
      <x:c r="E12" s="22" t="str">
        <x:v>AGUA BIDESTILADA INJECAO</x:v>
      </x:c>
      <x:c r="F12" s="22" t="str">
        <x:v>1000ML</x:v>
      </x:c>
      <x:c r="G12" s="22" t="str"/>
      <x:c r="H12" s="22" t="str">
        <x:v>FR</x:v>
      </x:c>
      <x:c r="I12" s="22" t="str">
        <x:v>FRASCO</x:v>
      </x:c>
      <x:c r="J12" s="22" t="str">
        <x:v>FRESENIUS</x:v>
      </x:c>
      <x:c r="K12" s="28" t="str"/>
      <x:c r="L12" s="28" t="str">
        <x:f>"28470000"</x:f>
        <x:v>28470000</x:v>
      </x:c>
      <x:c r="M12" s="22" t="str">
        <x:v>FR</x:v>
      </x:c>
      <x:c r="N12" s="22" t="str">
        <x:v>FR</x:v>
      </x:c>
      <x:c r="O12" s="22" t="n">
        <x:v>1</x:v>
      </x:c>
      <x:c r="P12" s="28" t="str">
        <x:f>"14"</x:f>
        <x:v>14</x:v>
      </x:c>
      <x:c r="Q12" s="28" t="str">
        <x:f>"CS00019"</x:f>
        <x:v>CS00019</x:v>
      </x:c>
    </x:row>
    <x:row r="13">
      <x:c r="A13" s="22" t="n">
        <x:v>9</x:v>
      </x:c>
      <x:c r="B13" s="28" t="str">
        <x:f>"ÁD10006"</x:f>
        <x:v>ÁD10006</x:v>
      </x:c>
      <x:c r="C13" s="22" t="str">
        <x:v>ÁGUA DESTILADA 10ML AP - FARMACE - CX/200</x:v>
      </x:c>
      <x:c r="D13" s="22" t="str">
        <x:v>AGUA DESTILADA</x:v>
      </x:c>
      <x:c r="E13" s="22" t="str">
        <x:v>AGUA DESTILADA</x:v>
      </x:c>
      <x:c r="F13" s="22" t="str">
        <x:v>10ML</x:v>
      </x:c>
      <x:c r="G13" s="22" t="str"/>
      <x:c r="H13" s="22" t="str">
        <x:v>AP | CX/200 | UN</x:v>
      </x:c>
      <x:c r="I13" s="22" t="str">
        <x:v>UNIDADE</x:v>
      </x:c>
      <x:c r="J13" s="22" t="str">
        <x:v>FARMACE</x:v>
      </x:c>
      <x:c r="K13" s="28" t="str">
        <x:f>"GTIN: 7896242140719"</x:f>
        <x:v>GTIN: 7896242140719</x:v>
      </x:c>
      <x:c r="L13" s="28" t="str">
        <x:f>"30049099"</x:f>
        <x:v>30049099</x:v>
      </x:c>
      <x:c r="M13" s="22" t="str">
        <x:v>UN</x:v>
      </x:c>
      <x:c r="N13" s="22" t="str">
        <x:v>UN</x:v>
      </x:c>
      <x:c r="O13" s="22" t="n">
        <x:v>1</x:v>
      </x:c>
      <x:c r="P13" s="28" t="str">
        <x:f>"15"</x:f>
        <x:v>15</x:v>
      </x:c>
      <x:c r="Q13" s="28" t="str">
        <x:f>"ÁD10006"</x:f>
        <x:v>ÁD10006</x:v>
      </x:c>
    </x:row>
    <x:row r="14">
      <x:c r="A14" s="22" t="n">
        <x:v>10</x:v>
      </x:c>
      <x:c r="B14" s="28" t="str">
        <x:f>"ÁD10001"</x:f>
        <x:v>ÁD10001</x:v>
      </x:c>
      <x:c r="C14" s="22" t="str">
        <x:v>ÁGUA DESTILADA 10ML AP P/ INJ - EQUIPLEX - CX/200</x:v>
      </x:c>
      <x:c r="D14" s="22" t="str">
        <x:v>AGUA DESTILADA INJ</x:v>
      </x:c>
      <x:c r="E14" s="22" t="str">
        <x:v>AGUA DESTILADA INJ</x:v>
      </x:c>
      <x:c r="F14" s="22" t="str">
        <x:v>10ML</x:v>
      </x:c>
      <x:c r="G14" s="22" t="str"/>
      <x:c r="H14" s="22" t="str">
        <x:v>AP | CX/200 | UN</x:v>
      </x:c>
      <x:c r="I14" s="22" t="str">
        <x:v>UNIDADE</x:v>
      </x:c>
      <x:c r="J14" s="22" t="str">
        <x:v>EQUIPLEX</x:v>
      </x:c>
      <x:c r="K14" s="28" t="str"/>
      <x:c r="L14" s="28" t="str">
        <x:f>"30049099"</x:f>
        <x:v>30049099</x:v>
      </x:c>
      <x:c r="M14" s="22" t="str">
        <x:v>UN</x:v>
      </x:c>
      <x:c r="N14" s="22" t="str">
        <x:v>UN</x:v>
      </x:c>
      <x:c r="O14" s="22" t="n">
        <x:v>1</x:v>
      </x:c>
      <x:c r="P14" s="28" t="str">
        <x:f>"16 | 17 | 18 | 19"</x:f>
        <x:v>16 | 17 | 18 | 19</x:v>
      </x:c>
      <x:c r="Q14" s="28" t="str">
        <x:f>"ÁD10001 | ÁD10002 | ÁD10003"</x:f>
        <x:v>ÁD10001 | ÁD10002 | ÁD10003</x:v>
      </x:c>
    </x:row>
    <x:row r="15">
      <x:c r="A15" s="22" t="n">
        <x:v>11</x:v>
      </x:c>
      <x:c r="B15" s="28" t="str">
        <x:f>"ÁD10005"</x:f>
        <x:v>ÁD10005</x:v>
      </x:c>
      <x:c r="C15" s="22" t="str">
        <x:v>ÁGUA DESTILADA 5000ML GL - FACILIMPE</x:v>
      </x:c>
      <x:c r="D15" s="22" t="str">
        <x:v>AGUA DESTILADA</x:v>
      </x:c>
      <x:c r="E15" s="22" t="str">
        <x:v>AGUA DESTILADA</x:v>
      </x:c>
      <x:c r="F15" s="22" t="str">
        <x:v>5000ML</x:v>
      </x:c>
      <x:c r="G15" s="22" t="str"/>
      <x:c r="H15" s="22" t="str">
        <x:v>GL | UN</x:v>
      </x:c>
      <x:c r="I15" s="22" t="str">
        <x:v>UNIDADE</x:v>
      </x:c>
      <x:c r="J15" s="22" t="str">
        <x:v>FACILIMPE</x:v>
      </x:c>
      <x:c r="K15" s="28" t="str">
        <x:f>"GTIN: 789891705266"</x:f>
        <x:v>GTIN: 789891705266</x:v>
      </x:c>
      <x:c r="L15" s="28" t="str">
        <x:f>"30049099"</x:f>
        <x:v>30049099</x:v>
      </x:c>
      <x:c r="M15" s="22" t="str">
        <x:v>UN</x:v>
      </x:c>
      <x:c r="N15" s="22" t="str">
        <x:v>UN</x:v>
      </x:c>
      <x:c r="O15" s="22" t="n">
        <x:v>1</x:v>
      </x:c>
      <x:c r="P15" s="28" t="str">
        <x:f>"20"</x:f>
        <x:v>20</x:v>
      </x:c>
      <x:c r="Q15" s="28" t="str">
        <x:f>"ÁD10005"</x:f>
        <x:v>ÁD10005</x:v>
      </x:c>
    </x:row>
    <x:row r="16">
      <x:c r="A16" s="22" t="n">
        <x:v>12</x:v>
      </x:c>
      <x:c r="B16" s="28" t="str">
        <x:f>"ÁO30001"</x:f>
        <x:v>ÁO30001</x:v>
      </x:c>
      <x:c r="C16" s="22" t="str">
        <x:v>ÁGUA OXIGENADA 3% 10VL 1L - CX/12 - RIOQUÍMICA</x:v>
      </x:c>
      <x:c r="D16" s="22" t="str">
        <x:v>AGUA OXIGENADA % 10VL</x:v>
      </x:c>
      <x:c r="E16" s="22" t="str">
        <x:v>AGUA OXIGENADA 10VL</x:v>
      </x:c>
      <x:c r="F16" s="22" t="str">
        <x:v>1L</x:v>
      </x:c>
      <x:c r="G16" s="22" t="str"/>
      <x:c r="H16" s="22" t="str">
        <x:v>CX/12 | CX | CONTEUDO12 | FATOR12</x:v>
      </x:c>
      <x:c r="I16" s="22" t="str">
        <x:v>CAIXA</x:v>
      </x:c>
      <x:c r="J16" s="22" t="str">
        <x:v>RIOQUÍMICA</x:v>
      </x:c>
      <x:c r="K16" s="28" t="str">
        <x:f>"GTIN: 7897780200361"</x:f>
        <x:v>GTIN: 7897780200361</x:v>
      </x:c>
      <x:c r="L16" s="28" t="str">
        <x:f>"28470000"</x:f>
        <x:v>28470000</x:v>
      </x:c>
      <x:c r="M16" s="22" t="str">
        <x:v>UN</x:v>
      </x:c>
      <x:c r="N16" s="22" t="str">
        <x:v>CX</x:v>
      </x:c>
      <x:c r="O16" s="22" t="n">
        <x:v>12</x:v>
      </x:c>
      <x:c r="P16" s="28" t="str">
        <x:f>"21"</x:f>
        <x:v>21</x:v>
      </x:c>
      <x:c r="Q16" s="28" t="str">
        <x:f>"ÁO30001"</x:f>
        <x:v>ÁO30001</x:v>
      </x:c>
    </x:row>
    <x:row r="17">
      <x:c r="A17" s="22" t="n">
        <x:v>13</x:v>
      </x:c>
      <x:c r="B17" s="28" t="str">
        <x:f>"ÁPI0001"</x:f>
        <x:v>ÁPI0001</x:v>
      </x:c>
      <x:c r="C17" s="22" t="str">
        <x:v>ÁGUA PARA INJEÇÃO 10ML - FARMACE CX/200</x:v>
      </x:c>
      <x:c r="D17" s="22" t="str">
        <x:v>AGUA PARA INJECAO</x:v>
      </x:c>
      <x:c r="E17" s="22" t="str">
        <x:v>AGUA PARA INJECAO</x:v>
      </x:c>
      <x:c r="F17" s="22" t="str">
        <x:v>10ML</x:v>
      </x:c>
      <x:c r="G17" s="22" t="str"/>
      <x:c r="H17" s="22" t="str">
        <x:v>CX/200 | CX | CONTEUDO200 | FATOR200</x:v>
      </x:c>
      <x:c r="I17" s="22" t="str">
        <x:v>CAIXA</x:v>
      </x:c>
      <x:c r="J17" s="22" t="str">
        <x:v>FARMACE</x:v>
      </x:c>
      <x:c r="K17" s="28" t="str">
        <x:f>"GTIN: 7898179363896"</x:f>
        <x:v>GTIN: 7898179363896</x:v>
      </x:c>
      <x:c r="L17" s="28" t="str">
        <x:f>"28470000"</x:f>
        <x:v>28470000</x:v>
      </x:c>
      <x:c r="M17" s="22" t="str">
        <x:v>UN</x:v>
      </x:c>
      <x:c r="N17" s="22" t="str">
        <x:v>CX</x:v>
      </x:c>
      <x:c r="O17" s="22" t="n">
        <x:v>200</x:v>
      </x:c>
      <x:c r="P17" s="28" t="str">
        <x:f>"22"</x:f>
        <x:v>22</x:v>
      </x:c>
      <x:c r="Q17" s="28" t="str">
        <x:f>"ÁPI0001"</x:f>
        <x:v>ÁPI0001</x:v>
      </x:c>
    </x:row>
    <x:row r="18">
      <x:c r="A18" s="22" t="n">
        <x:v>14</x:v>
      </x:c>
      <x:c r="B18" s="28" t="str">
        <x:f>"CS00008"</x:f>
        <x:v>CS00008</x:v>
      </x:c>
      <x:c r="C18" s="22" t="str">
        <x:v>ÁGUA PARA INJEÇÃO 500ML - CX/50 - FRESENIUS</x:v>
      </x:c>
      <x:c r="D18" s="22" t="str">
        <x:v>AGUA PARA INJECAO</x:v>
      </x:c>
      <x:c r="E18" s="22" t="str">
        <x:v>AGUA PARA INJECAO</x:v>
      </x:c>
      <x:c r="F18" s="22" t="str">
        <x:v>500ML</x:v>
      </x:c>
      <x:c r="G18" s="22" t="str"/>
      <x:c r="H18" s="22" t="str">
        <x:v>CX/50 | CX | CONTEUDO50 | FATOR50</x:v>
      </x:c>
      <x:c r="I18" s="22" t="str">
        <x:v>CAIXA</x:v>
      </x:c>
      <x:c r="J18" s="22" t="str">
        <x:v>FRESENIUS</x:v>
      </x:c>
      <x:c r="K18" s="28" t="str">
        <x:f>"GTIN: 7898179363896"</x:f>
        <x:v>GTIN: 7898179363896</x:v>
      </x:c>
      <x:c r="L18" s="28" t="str">
        <x:f>"28470000"</x:f>
        <x:v>28470000</x:v>
      </x:c>
      <x:c r="M18" s="22" t="str">
        <x:v>UN</x:v>
      </x:c>
      <x:c r="N18" s="22" t="str">
        <x:v>CX</x:v>
      </x:c>
      <x:c r="O18" s="22" t="n">
        <x:v>50</x:v>
      </x:c>
      <x:c r="P18" s="28" t="str">
        <x:f>"23"</x:f>
        <x:v>23</x:v>
      </x:c>
      <x:c r="Q18" s="28" t="str">
        <x:f>"CS00008"</x:f>
        <x:v>CS00008</x:v>
      </x:c>
    </x:row>
    <x:row r="19">
      <x:c r="A19" s="22" t="n">
        <x:v>15</x:v>
      </x:c>
      <x:c r="B19" s="28" t="str">
        <x:f>"A1C0001"</x:f>
        <x:v>A1C0001</x:v>
      </x:c>
      <x:c r="C19" s="22" t="str">
        <x:v>AGULHA 13X0,45MM CX/100 DESCARPACK</x:v>
      </x:c>
      <x:c r="D19" s="22" t="str">
        <x:v>AGULHA DESCARPACK</x:v>
      </x:c>
      <x:c r="E19" s="22" t="str">
        <x:v>AGULHA DESCARPACK</x:v>
      </x:c>
      <x:c r="F19" s="22" t="str"/>
      <x:c r="G19" s="22" t="str">
        <x:v>13X0,45MM</x:v>
      </x:c>
      <x:c r="H19" s="22" t="str">
        <x:v>CX/100 | CX | CONTEUDO100 | FATOR100</x:v>
      </x:c>
      <x:c r="I19" s="22" t="str">
        <x:v>CAIXA</x:v>
      </x:c>
      <x:c r="J19" s="22" t="str">
        <x:v>SOLIDOR</x:v>
      </x:c>
      <x:c r="K19" s="28" t="str">
        <x:f>"GTIN: 7898283814222"</x:f>
        <x:v>GTIN: 7898283814222</x:v>
      </x:c>
      <x:c r="L19" s="28" t="str">
        <x:f>"90183219"</x:f>
        <x:v>90183219</x:v>
      </x:c>
      <x:c r="M19" s="22" t="str">
        <x:v>UN</x:v>
      </x:c>
      <x:c r="N19" s="22" t="str">
        <x:v>CX</x:v>
      </x:c>
      <x:c r="O19" s="22" t="n">
        <x:v>100</x:v>
      </x:c>
      <x:c r="P19" s="28" t="str">
        <x:f>"24"</x:f>
        <x:v>24</x:v>
      </x:c>
      <x:c r="Q19" s="28" t="str">
        <x:f>"A1C0001"</x:f>
        <x:v>A1C0001</x:v>
      </x:c>
    </x:row>
    <x:row r="20">
      <x:c r="A20" s="22" t="n">
        <x:v>16</x:v>
      </x:c>
      <x:c r="B20" s="28" t="str">
        <x:f>"AH20004"</x:f>
        <x:v>AH20004</x:v>
      </x:c>
      <x:c r="C20" s="22" t="str">
        <x:v>AGULHA 20X0,55MM CX/100 LABOR IMPORT</x:v>
      </x:c>
      <x:c r="D20" s="22" t="str">
        <x:v>AGULHA</x:v>
      </x:c>
      <x:c r="E20" s="22" t="str">
        <x:v>AGULHA</x:v>
      </x:c>
      <x:c r="F20" s="22" t="str"/>
      <x:c r="G20" s="22" t="str">
        <x:v>20X0,55MM</x:v>
      </x:c>
      <x:c r="H20" s="22" t="str">
        <x:v>CX/100 | CX | CONTEUDO100 | FATOR100</x:v>
      </x:c>
      <x:c r="I20" s="22" t="str">
        <x:v>CAIXA</x:v>
      </x:c>
      <x:c r="J20" s="22" t="str">
        <x:v>LABOR IMPORT</x:v>
      </x:c>
      <x:c r="K20" s="28" t="str">
        <x:f>"GTIN: 7898547244789"</x:f>
        <x:v>GTIN: 7898547244789</x:v>
      </x:c>
      <x:c r="L20" s="28" t="str">
        <x:f>"90183219"</x:f>
        <x:v>90183219</x:v>
      </x:c>
      <x:c r="M20" s="22" t="str">
        <x:v>UN</x:v>
      </x:c>
      <x:c r="N20" s="22" t="str">
        <x:v>CX</x:v>
      </x:c>
      <x:c r="O20" s="22" t="n">
        <x:v>100</x:v>
      </x:c>
      <x:c r="P20" s="28" t="str">
        <x:f>"25"</x:f>
        <x:v>25</x:v>
      </x:c>
      <x:c r="Q20" s="28" t="str">
        <x:f>"AH20004"</x:f>
        <x:v>AH20004</x:v>
      </x:c>
    </x:row>
    <x:row r="21">
      <x:c r="A21" s="22" t="n">
        <x:v>17</x:v>
      </x:c>
      <x:c r="B21" s="28" t="str">
        <x:f>"A2C0002"</x:f>
        <x:v>A2C0002</x:v>
      </x:c>
      <x:c r="C21" s="22" t="str">
        <x:v>AGULHA 20X5,5MM (24GX3/4) CX/100 - DESCARPACK</x:v>
      </x:c>
      <x:c r="D21" s="22" t="str">
        <x:v>AGULHA</x:v>
      </x:c>
      <x:c r="E21" s="22" t="str">
        <x:v>AGULHA</x:v>
      </x:c>
      <x:c r="F21" s="22" t="str"/>
      <x:c r="G21" s="22" t="str">
        <x:v>20X5,5MM | 24GX3/4</x:v>
      </x:c>
      <x:c r="H21" s="22" t="str">
        <x:v>CX/100 | CX | CONTEUDO100 | FATOR100</x:v>
      </x:c>
      <x:c r="I21" s="22" t="str">
        <x:v>CAIXA</x:v>
      </x:c>
      <x:c r="J21" s="22" t="str">
        <x:v>DESCARPACK</x:v>
      </x:c>
      <x:c r="K21" s="28" t="str">
        <x:f>"GTIN: 7898547240903"</x:f>
        <x:v>GTIN: 7898547240903</x:v>
      </x:c>
      <x:c r="L21" s="28" t="str">
        <x:f>"90183219"</x:f>
        <x:v>90183219</x:v>
      </x:c>
      <x:c r="M21" s="22" t="str">
        <x:v>UN</x:v>
      </x:c>
      <x:c r="N21" s="22" t="str">
        <x:v>CX</x:v>
      </x:c>
      <x:c r="O21" s="22" t="n">
        <x:v>100</x:v>
      </x:c>
      <x:c r="P21" s="28" t="str">
        <x:f>"26"</x:f>
        <x:v>26</x:v>
      </x:c>
      <x:c r="Q21" s="28" t="str">
        <x:f>"A2C0002"</x:f>
        <x:v>A2C0002</x:v>
      </x:c>
    </x:row>
    <x:row r="22">
      <x:c r="A22" s="22" t="n">
        <x:v>18</x:v>
      </x:c>
      <x:c r="B22" s="28" t="str">
        <x:f>"A2C0001"</x:f>
        <x:v>A2C0001</x:v>
      </x:c>
      <x:c r="C22" s="22" t="str">
        <x:v>AGULHA 20X5,5MM C/ NR32 CX/100 - DESCARPACK</x:v>
      </x:c>
      <x:c r="D22" s="22" t="str">
        <x:v>AGULHA NR32</x:v>
      </x:c>
      <x:c r="E22" s="22" t="str">
        <x:v>AGULHA NR32</x:v>
      </x:c>
      <x:c r="F22" s="22" t="str"/>
      <x:c r="G22" s="22" t="str">
        <x:v>20X5,5MM</x:v>
      </x:c>
      <x:c r="H22" s="22" t="str">
        <x:v>CX/100 | CX | CONTEUDO100 | FATOR100</x:v>
      </x:c>
      <x:c r="I22" s="22" t="str">
        <x:v>CAIXA</x:v>
      </x:c>
      <x:c r="J22" s="22" t="str">
        <x:v>DESCARPACK</x:v>
      </x:c>
      <x:c r="K22" s="28" t="str">
        <x:f>"GTIN: 7898547240903"</x:f>
        <x:v>GTIN: 7898547240903</x:v>
      </x:c>
      <x:c r="L22" s="28" t="str">
        <x:f>"90183219"</x:f>
        <x:v>90183219</x:v>
      </x:c>
      <x:c r="M22" s="22" t="str">
        <x:v>UN</x:v>
      </x:c>
      <x:c r="N22" s="22" t="str">
        <x:v>CX</x:v>
      </x:c>
      <x:c r="O22" s="22" t="n">
        <x:v>100</x:v>
      </x:c>
      <x:c r="P22" s="28" t="str">
        <x:f>"27"</x:f>
        <x:v>27</x:v>
      </x:c>
      <x:c r="Q22" s="28" t="str">
        <x:f>"A2C0001"</x:f>
        <x:v>A2C0001</x:v>
      </x:c>
    </x:row>
    <x:row r="23">
      <x:c r="A23" s="22" t="n">
        <x:v>19</x:v>
      </x:c>
      <x:c r="B23" s="28" t="str">
        <x:f>"A3X0003"</x:f>
        <x:v>A3X0003</x:v>
      </x:c>
      <x:c r="C23" s="22" t="str">
        <x:v>AGULHA 25X0,7MM CX/100 SOLIDOR</x:v>
      </x:c>
      <x:c r="D23" s="22" t="str">
        <x:v>AGULHA</x:v>
      </x:c>
      <x:c r="E23" s="22" t="str">
        <x:v>AGULHA</x:v>
      </x:c>
      <x:c r="F23" s="22" t="str"/>
      <x:c r="G23" s="22" t="str">
        <x:v>25X0,7MM</x:v>
      </x:c>
      <x:c r="H23" s="22" t="str">
        <x:v>CX/100 | CX | CONTEUDO100 | FATOR100</x:v>
      </x:c>
      <x:c r="I23" s="22" t="str">
        <x:v>CAIXA</x:v>
      </x:c>
      <x:c r="J23" s="22" t="str">
        <x:v>SOLIDOR</x:v>
      </x:c>
      <x:c r="K23" s="28" t="str">
        <x:f>"GTIN: 818392017915"</x:f>
        <x:v>GTIN: 818392017915</x:v>
      </x:c>
      <x:c r="L23" s="28" t="str">
        <x:f>"90183219"</x:f>
        <x:v>90183219</x:v>
      </x:c>
      <x:c r="M23" s="22" t="str">
        <x:v>UN</x:v>
      </x:c>
      <x:c r="N23" s="22" t="str">
        <x:v>CX</x:v>
      </x:c>
      <x:c r="O23" s="22" t="n">
        <x:v>100</x:v>
      </x:c>
      <x:c r="P23" s="28" t="str">
        <x:f>"28"</x:f>
        <x:v>28</x:v>
      </x:c>
      <x:c r="Q23" s="28" t="str">
        <x:f>"A3X0003"</x:f>
        <x:v>A3X0003</x:v>
      </x:c>
    </x:row>
    <x:row r="24">
      <x:c r="A24" s="22" t="n">
        <x:v>20</x:v>
      </x:c>
      <x:c r="B24" s="28" t="str">
        <x:f>"A3X0007"</x:f>
        <x:v>A3X0007</x:v>
      </x:c>
      <x:c r="C24" s="22" t="str">
        <x:v>AGULHA 30X0,8MM CX/100 DESCARPACK</x:v>
      </x:c>
      <x:c r="D24" s="22" t="str">
        <x:v>AGULHA DESCARPACK</x:v>
      </x:c>
      <x:c r="E24" s="22" t="str">
        <x:v>AGULHA DESCARPACK</x:v>
      </x:c>
      <x:c r="F24" s="22" t="str"/>
      <x:c r="G24" s="22" t="str">
        <x:v>30X0,8MM</x:v>
      </x:c>
      <x:c r="H24" s="22" t="str">
        <x:v>CX/100 | CX | CONTEUDO100 | FATOR100</x:v>
      </x:c>
      <x:c r="I24" s="22" t="str">
        <x:v>CAIXA</x:v>
      </x:c>
      <x:c r="J24" s="22" t="str">
        <x:v>SOLIDOR</x:v>
      </x:c>
      <x:c r="K24" s="28" t="str">
        <x:f>"GTIN: 7898283814246"</x:f>
        <x:v>GTIN: 7898283814246</x:v>
      </x:c>
      <x:c r="L24" s="28" t="str">
        <x:f>"90183219"</x:f>
        <x:v>90183219</x:v>
      </x:c>
      <x:c r="M24" s="22" t="str">
        <x:v>UN</x:v>
      </x:c>
      <x:c r="N24" s="22" t="str">
        <x:v>CX</x:v>
      </x:c>
      <x:c r="O24" s="22" t="n">
        <x:v>100</x:v>
      </x:c>
      <x:c r="P24" s="28" t="str">
        <x:f>"29"</x:f>
        <x:v>29</x:v>
      </x:c>
      <x:c r="Q24" s="28" t="str">
        <x:f>"A3X0007"</x:f>
        <x:v>A3X0007</x:v>
      </x:c>
    </x:row>
    <x:row r="25">
      <x:c r="A25" s="22" t="n">
        <x:v>21</x:v>
      </x:c>
      <x:c r="B25" s="28" t="str">
        <x:f>"A3X0002"</x:f>
        <x:v>A3X0002</x:v>
      </x:c>
      <x:c r="C25" s="22" t="str">
        <x:v>AGULHA 30X0,8MM CX/100 SOLIDOR</x:v>
      </x:c>
      <x:c r="D25" s="22" t="str">
        <x:v>AGULHA</x:v>
      </x:c>
      <x:c r="E25" s="22" t="str">
        <x:v>AGULHA</x:v>
      </x:c>
      <x:c r="F25" s="22" t="str"/>
      <x:c r="G25" s="22" t="str">
        <x:v>30X0,8MM</x:v>
      </x:c>
      <x:c r="H25" s="22" t="str">
        <x:v>CX/100 | CX | CONTEUDO100 | FATOR100</x:v>
      </x:c>
      <x:c r="I25" s="22" t="str">
        <x:v>CAIXA</x:v>
      </x:c>
      <x:c r="J25" s="22" t="str">
        <x:v>SOLIDOR</x:v>
      </x:c>
      <x:c r="K25" s="28" t="str">
        <x:f>"GTIN: 17898157724807"</x:f>
        <x:v>GTIN: 17898157724807</x:v>
      </x:c>
      <x:c r="L25" s="28" t="str">
        <x:f>"90183219"</x:f>
        <x:v>90183219</x:v>
      </x:c>
      <x:c r="M25" s="22" t="str">
        <x:v>UN</x:v>
      </x:c>
      <x:c r="N25" s="22" t="str">
        <x:v>CX</x:v>
      </x:c>
      <x:c r="O25" s="22" t="n">
        <x:v>100</x:v>
      </x:c>
      <x:c r="P25" s="28" t="str">
        <x:f>"30"</x:f>
        <x:v>30</x:v>
      </x:c>
      <x:c r="Q25" s="28" t="str">
        <x:f>"A3X0002"</x:f>
        <x:v>A3X0002</x:v>
      </x:c>
    </x:row>
    <x:row r="26">
      <x:c r="A26" s="22" t="n">
        <x:v>22</x:v>
      </x:c>
      <x:c r="B26" s="28" t="str">
        <x:f>"A3C0001"</x:f>
        <x:v>A3C0001</x:v>
      </x:c>
      <x:c r="C26" s="22" t="str">
        <x:v>AGULHA 30X7,0MM CX/100 - SR</x:v>
      </x:c>
      <x:c r="D26" s="22" t="str">
        <x:v>AGULHA</x:v>
      </x:c>
      <x:c r="E26" s="22" t="str">
        <x:v>AGULHA</x:v>
      </x:c>
      <x:c r="F26" s="22" t="str"/>
      <x:c r="G26" s="22" t="str">
        <x:v>30X7,0MM</x:v>
      </x:c>
      <x:c r="H26" s="22" t="str">
        <x:v>CX/100 | CX | CONTEUDO100 | FATOR100</x:v>
      </x:c>
      <x:c r="I26" s="22" t="str">
        <x:v>CAIXA</x:v>
      </x:c>
      <x:c r="J26" s="22" t="str">
        <x:v>SR</x:v>
      </x:c>
      <x:c r="K26" s="28" t="str">
        <x:f>"GTIN: 7898283814246"</x:f>
        <x:v>GTIN: 7898283814246</x:v>
      </x:c>
      <x:c r="L26" s="28" t="str">
        <x:f>"90183219"</x:f>
        <x:v>90183219</x:v>
      </x:c>
      <x:c r="M26" s="22" t="str">
        <x:v>UN</x:v>
      </x:c>
      <x:c r="N26" s="22" t="str">
        <x:v>CX</x:v>
      </x:c>
      <x:c r="O26" s="22" t="n">
        <x:v>100</x:v>
      </x:c>
      <x:c r="P26" s="28" t="str">
        <x:f>"31"</x:f>
        <x:v>31</x:v>
      </x:c>
      <x:c r="Q26" s="28" t="str">
        <x:f>"A3C0001"</x:f>
        <x:v>A3C0001</x:v>
      </x:c>
    </x:row>
    <x:row r="27">
      <x:c r="A27" s="22" t="n">
        <x:v>23</x:v>
      </x:c>
      <x:c r="B27" s="28" t="str">
        <x:f>"A3C0003"</x:f>
        <x:v>A3C0003</x:v>
      </x:c>
      <x:c r="C27" s="22" t="str">
        <x:v>AGULHA 40X12 (18GX1-1/2) CX/100 - WILTEX</x:v>
      </x:c>
      <x:c r="D27" s="22" t="str">
        <x:v>AGULHA</x:v>
      </x:c>
      <x:c r="E27" s="22" t="str">
        <x:v>AGULHA</x:v>
      </x:c>
      <x:c r="F27" s="22" t="str"/>
      <x:c r="G27" s="22" t="str">
        <x:v>40X12 | 18GX1-1/2</x:v>
      </x:c>
      <x:c r="H27" s="22" t="str">
        <x:v>CX/100 | CX | CONTEUDO100 | FATOR100</x:v>
      </x:c>
      <x:c r="I27" s="22" t="str">
        <x:v>CAIXA</x:v>
      </x:c>
      <x:c r="J27" s="22" t="str">
        <x:v>WILTEX</x:v>
      </x:c>
      <x:c r="K27" s="28" t="str"/>
      <x:c r="L27" s="28" t="str">
        <x:f>"90183219"</x:f>
        <x:v>90183219</x:v>
      </x:c>
      <x:c r="M27" s="22" t="str">
        <x:v>UN</x:v>
      </x:c>
      <x:c r="N27" s="22" t="str">
        <x:v>CX</x:v>
      </x:c>
      <x:c r="O27" s="22" t="n">
        <x:v>100</x:v>
      </x:c>
      <x:c r="P27" s="28" t="str">
        <x:f>"32"</x:f>
        <x:v>32</x:v>
      </x:c>
      <x:c r="Q27" s="28" t="str">
        <x:f>"A3C0003"</x:f>
        <x:v>A3C0003</x:v>
      </x:c>
    </x:row>
    <x:row r="28">
      <x:c r="A28" s="22" t="n">
        <x:v>24</x:v>
      </x:c>
      <x:c r="B28" s="28" t="str">
        <x:f>"A3C0002"</x:f>
        <x:v>A3C0002</x:v>
      </x:c>
      <x:c r="C28" s="22" t="str">
        <x:v>AGULHA HIPODÉRMICA ESTÉRIL 40X1,20MM CX/100 - MEDIX</x:v>
      </x:c>
      <x:c r="D28" s="22" t="str">
        <x:v>AGULHA HIPODERMICA ESTERIL</x:v>
      </x:c>
      <x:c r="E28" s="22" t="str">
        <x:v>AGULHA HIPODERMICA ESTERIL</x:v>
      </x:c>
      <x:c r="F28" s="22" t="str"/>
      <x:c r="G28" s="22" t="str">
        <x:v>40X1,20MM</x:v>
      </x:c>
      <x:c r="H28" s="22" t="str">
        <x:v>CX/100 | CX | CONTEUDO100 | FATOR100</x:v>
      </x:c>
      <x:c r="I28" s="22" t="str">
        <x:v>CAIXA</x:v>
      </x:c>
      <x:c r="J28" s="22" t="str">
        <x:v>MEDIX</x:v>
      </x:c>
      <x:c r="K28" s="28" t="str">
        <x:f>"GTIN: 17898157724807"</x:f>
        <x:v>GTIN: 17898157724807</x:v>
      </x:c>
      <x:c r="L28" s="28" t="str">
        <x:f>"90183219"</x:f>
        <x:v>90183219</x:v>
      </x:c>
      <x:c r="M28" s="22" t="str">
        <x:v>UN</x:v>
      </x:c>
      <x:c r="N28" s="22" t="str">
        <x:v>CX</x:v>
      </x:c>
      <x:c r="O28" s="22" t="n">
        <x:v>100</x:v>
      </x:c>
      <x:c r="P28" s="28" t="str">
        <x:f>"33"</x:f>
        <x:v>33</x:v>
      </x:c>
      <x:c r="Q28" s="28" t="str">
        <x:f>"A3C0002"</x:f>
        <x:v>A3C0002</x:v>
      </x:c>
    </x:row>
    <x:row r="29">
      <x:c r="A29" s="22" t="n">
        <x:v>25</x:v>
      </x:c>
      <x:c r="B29" s="28" t="str">
        <x:f>"AP10001"</x:f>
        <x:v>AP10001</x:v>
      </x:c>
      <x:c r="C29" s="22" t="str">
        <x:v>AGULHA PERICAN 16GX31,7X80MM - BBRAUN</x:v>
      </x:c>
      <x:c r="D29" s="22" t="str">
        <x:v>AGULHA PERICAN</x:v>
      </x:c>
      <x:c r="E29" s="22" t="str">
        <x:v>AGULHA PERICAN</x:v>
      </x:c>
      <x:c r="F29" s="22" t="str"/>
      <x:c r="G29" s="22" t="str">
        <x:v>7X80MM | 16GX31,</x:v>
      </x:c>
      <x:c r="H29" s="22" t="str">
        <x:v>UN</x:v>
      </x:c>
      <x:c r="I29" s="22" t="str">
        <x:v>UNIDADE</x:v>
      </x:c>
      <x:c r="J29" s="22" t="str">
        <x:v>BBRAUN</x:v>
      </x:c>
      <x:c r="K29" s="28" t="str">
        <x:f>"GTIN: 4022495054517"</x:f>
        <x:v>GTIN: 4022495054517</x:v>
      </x:c>
      <x:c r="L29" s="28" t="str">
        <x:f>"90183213"</x:f>
        <x:v>90183213</x:v>
      </x:c>
      <x:c r="M29" s="22" t="str">
        <x:v>UN</x:v>
      </x:c>
      <x:c r="N29" s="22" t="str">
        <x:v>UN</x:v>
      </x:c>
      <x:c r="O29" s="22" t="n">
        <x:v>1</x:v>
      </x:c>
      <x:c r="P29" s="28" t="str">
        <x:f>"34"</x:f>
        <x:v>34</x:v>
      </x:c>
      <x:c r="Q29" s="28" t="str">
        <x:f>"AP10001"</x:f>
        <x:v>AP10001</x:v>
      </x:c>
    </x:row>
    <x:row r="30">
      <x:c r="A30" s="22" t="n">
        <x:v>26</x:v>
      </x:c>
      <x:c r="B30" s="28" t="str">
        <x:f>"AH20009"</x:f>
        <x:v>AH20009</x:v>
      </x:c>
      <x:c r="C30" s="22" t="str">
        <x:v>ALBUMINA HUMANA 20% 10G/50ML CX/01 - GRIFOLS</x:v>
      </x:c>
      <x:c r="D30" s="22" t="str">
        <x:v>ALBUMINA HUMANA %</x:v>
      </x:c>
      <x:c r="E30" s="22" t="str">
        <x:v>ALBUMINA HUMANA</x:v>
      </x:c>
      <x:c r="F30" s="22" t="str">
        <x:v>10G/50ML | 10G | 50ML</x:v>
      </x:c>
      <x:c r="G30" s="22" t="str">
        <x:v>10G</x:v>
      </x:c>
      <x:c r="H30" s="22" t="str">
        <x:v>CX/01 | UN</x:v>
      </x:c>
      <x:c r="I30" s="22" t="str">
        <x:v>UNIDADE</x:v>
      </x:c>
      <x:c r="J30" s="22" t="str">
        <x:v>GRIFOLS</x:v>
      </x:c>
      <x:c r="K30" s="28" t="str"/>
      <x:c r="L30" s="28" t="str">
        <x:f>"30049079"</x:f>
        <x:v>30049079</x:v>
      </x:c>
      <x:c r="M30" s="22" t="str">
        <x:v>UN</x:v>
      </x:c>
      <x:c r="N30" s="22" t="str">
        <x:v>UN</x:v>
      </x:c>
      <x:c r="O30" s="22" t="n">
        <x:v>1</x:v>
      </x:c>
      <x:c r="P30" s="28" t="str">
        <x:f>"35 | 36 | 37 | 38 | 39"</x:f>
        <x:v>35 | 36 | 37 | 38 | 39</x:v>
      </x:c>
      <x:c r="Q30" s="28" t="str">
        <x:f>"AH20009 | AH20006 | AH20008 | AH20007 | AH20005"</x:f>
        <x:v>AH20009 | AH20006 | AH20008 | AH20007 | AH20005</x:v>
      </x:c>
    </x:row>
    <x:row r="31">
      <x:c r="A31" s="22" t="n">
        <x:v>27</x:v>
      </x:c>
      <x:c r="B31" s="28" t="str">
        <x:f>"AH20001"</x:f>
        <x:v>AH20001</x:v>
      </x:c>
      <x:c r="C31" s="22" t="str">
        <x:v>ALBUMINA HUMANA 200G/L FR 50 ML - KEDRION</x:v>
      </x:c>
      <x:c r="D31" s="22" t="str">
        <x:v>ALBUMINA HUMANA</x:v>
      </x:c>
      <x:c r="E31" s="22" t="str">
        <x:v>ALBUMINA HUMANA</x:v>
      </x:c>
      <x:c r="F31" s="22" t="str">
        <x:v>200G/L | 200G | 50ML</x:v>
      </x:c>
      <x:c r="G31" s="22" t="str">
        <x:v>200G</x:v>
      </x:c>
      <x:c r="H31" s="22" t="str">
        <x:v>FR50 | UN</x:v>
      </x:c>
      <x:c r="I31" s="22" t="str">
        <x:v>UNIDADE</x:v>
      </x:c>
      <x:c r="J31" s="22" t="str">
        <x:v>KEDRION</x:v>
      </x:c>
      <x:c r="K31" s="28" t="str">
        <x:f>"GTIN: 7896014640010"</x:f>
        <x:v>GTIN: 7896014640010</x:v>
      </x:c>
      <x:c r="L31" s="28" t="str">
        <x:f>"30049079"</x:f>
        <x:v>30049079</x:v>
      </x:c>
      <x:c r="M31" s="22" t="str">
        <x:v>UN</x:v>
      </x:c>
      <x:c r="N31" s="22" t="str">
        <x:v>UN</x:v>
      </x:c>
      <x:c r="O31" s="22" t="n">
        <x:v>1</x:v>
      </x:c>
      <x:c r="P31" s="28" t="str">
        <x:f>"40 | 41 | 42"</x:f>
        <x:v>40 | 41 | 42</x:v>
      </x:c>
      <x:c r="Q31" s="28" t="str">
        <x:f>"AH20002 | AH20001 | AH20003"</x:f>
        <x:v>AH20002 | AH20001 | AH20003</x:v>
      </x:c>
    </x:row>
    <x:row r="32">
      <x:c r="A32" s="22" t="n">
        <x:v>28</x:v>
      </x:c>
      <x:c r="B32" s="28" t="str">
        <x:f>"A7A0003"</x:f>
        <x:v>A7A0003</x:v>
      </x:c>
      <x:c r="C32" s="22" t="str">
        <x:v>ALCOOL 70% 1000ML SEPTPRO - CX/12 - PROLINK</x:v>
      </x:c>
      <x:c r="D32" s="22" t="str">
        <x:v>ALCOOL % SEPTPRO</x:v>
      </x:c>
      <x:c r="E32" s="22" t="str">
        <x:v>ALCOOL SEPTPRO</x:v>
      </x:c>
      <x:c r="F32" s="22" t="str">
        <x:v>1000ML</x:v>
      </x:c>
      <x:c r="G32" s="22" t="str"/>
      <x:c r="H32" s="22" t="str">
        <x:v>CX/12 | CX | CONTEUDO12 | FATOR12</x:v>
      </x:c>
      <x:c r="I32" s="22" t="str">
        <x:v>CAIXA</x:v>
      </x:c>
      <x:c r="J32" s="22" t="str">
        <x:v>PROLINK</x:v>
      </x:c>
      <x:c r="K32" s="28" t="str">
        <x:f>"GTIN: 7908346900554"</x:f>
        <x:v>GTIN: 7908346900554</x:v>
      </x:c>
      <x:c r="L32" s="28" t="str">
        <x:f>"38089429"</x:f>
        <x:v>38089429</x:v>
      </x:c>
      <x:c r="M32" s="22" t="str">
        <x:v>UN</x:v>
      </x:c>
      <x:c r="N32" s="22" t="str">
        <x:v>CX</x:v>
      </x:c>
      <x:c r="O32" s="22" t="n">
        <x:v>12</x:v>
      </x:c>
      <x:c r="P32" s="28" t="str">
        <x:f>"43"</x:f>
        <x:v>43</x:v>
      </x:c>
      <x:c r="Q32" s="28" t="str">
        <x:f>"A7A0003"</x:f>
        <x:v>A7A0003</x:v>
      </x:c>
    </x:row>
    <x:row r="33">
      <x:c r="A33" s="22" t="n">
        <x:v>29</x:v>
      </x:c>
      <x:c r="B33" s="28" t="str">
        <x:f>"AEG0001"</x:f>
        <x:v>AEG0001</x:v>
      </x:c>
      <x:c r="C33" s="22" t="str">
        <x:v>ALCOOL EM GEL 500ML C/ PUMP - TOP BEL</x:v>
      </x:c>
      <x:c r="D33" s="22" t="str">
        <x:v>ALCOOL EM GEL PUMP</x:v>
      </x:c>
      <x:c r="E33" s="22" t="str">
        <x:v>ALCOOL EM GEL</x:v>
      </x:c>
      <x:c r="F33" s="22" t="str">
        <x:v>500ML</x:v>
      </x:c>
      <x:c r="G33" s="22" t="str"/>
      <x:c r="H33" s="22" t="str">
        <x:v>UN</x:v>
      </x:c>
      <x:c r="I33" s="22" t="str">
        <x:v>UNIDADE</x:v>
      </x:c>
      <x:c r="J33" s="22" t="str">
        <x:v>TOP BEL</x:v>
      </x:c>
      <x:c r="K33" s="28" t="str"/>
      <x:c r="L33" s="28" t="str">
        <x:f>"38089429"</x:f>
        <x:v>38089429</x:v>
      </x:c>
      <x:c r="M33" s="22" t="str">
        <x:v>UN</x:v>
      </x:c>
      <x:c r="N33" s="22" t="str">
        <x:v>UN</x:v>
      </x:c>
      <x:c r="O33" s="22" t="n">
        <x:v>1</x:v>
      </x:c>
      <x:c r="P33" s="28" t="str">
        <x:f>"44"</x:f>
        <x:v>44</x:v>
      </x:c>
      <x:c r="Q33" s="28" t="str">
        <x:f>"AEG0001"</x:f>
        <x:v>AEG0001</x:v>
      </x:c>
    </x:row>
    <x:row r="34">
      <x:c r="A34" s="22" t="n">
        <x:v>30</x:v>
      </x:c>
      <x:c r="B34" s="28" t="str">
        <x:f>"AE70002"</x:f>
        <x:v>AE70002</x:v>
      </x:c>
      <x:c r="C34" s="22" t="str">
        <x:v>ALCOOL ETILICO 70% 1000ML - CX/12 - PROLINK</x:v>
      </x:c>
      <x:c r="D34" s="22" t="str">
        <x:v>ALCOOL ETILICO %</x:v>
      </x:c>
      <x:c r="E34" s="22" t="str">
        <x:v>ALCOOL ETILICO</x:v>
      </x:c>
      <x:c r="F34" s="22" t="str">
        <x:v>1000ML</x:v>
      </x:c>
      <x:c r="G34" s="22" t="str"/>
      <x:c r="H34" s="22" t="str">
        <x:v>CX/12 | CX | CONTEUDO12 | FATOR12</x:v>
      </x:c>
      <x:c r="I34" s="22" t="str">
        <x:v>CAIXA</x:v>
      </x:c>
      <x:c r="J34" s="22" t="str">
        <x:v>PROLINK</x:v>
      </x:c>
      <x:c r="K34" s="28" t="str">
        <x:f>"GTIN: 7908346901162"</x:f>
        <x:v>GTIN: 7908346901162</x:v>
      </x:c>
      <x:c r="L34" s="28" t="str">
        <x:f>"38089429"</x:f>
        <x:v>38089429</x:v>
      </x:c>
      <x:c r="M34" s="22" t="str">
        <x:v>UN</x:v>
      </x:c>
      <x:c r="N34" s="22" t="str">
        <x:v>CX</x:v>
      </x:c>
      <x:c r="O34" s="22" t="n">
        <x:v>12</x:v>
      </x:c>
      <x:c r="P34" s="28" t="str">
        <x:f>"45"</x:f>
        <x:v>45</x:v>
      </x:c>
      <x:c r="Q34" s="28" t="str">
        <x:f>"AE70002"</x:f>
        <x:v>AE70002</x:v>
      </x:c>
    </x:row>
    <x:row r="35">
      <x:c r="A35" s="22" t="n">
        <x:v>31</x:v>
      </x:c>
      <x:c r="B35" s="28" t="str">
        <x:f>"AE70003"</x:f>
        <x:v>AE70003</x:v>
      </x:c>
      <x:c r="C35" s="22" t="str">
        <x:v>ALCOOL ETILICO 70% 1000ML- CX/12 - RIALCOOL 70 - RIOQUÍMICA</x:v>
      </x:c>
      <x:c r="D35" s="22" t="str">
        <x:v>ALCOOL ETILICO % RIALCOOL</x:v>
      </x:c>
      <x:c r="E35" s="22" t="str">
        <x:v>ALCOOL ETILICO RIALCOOL</x:v>
      </x:c>
      <x:c r="F35" s="22" t="str">
        <x:v>1000ML</x:v>
      </x:c>
      <x:c r="G35" s="22" t="str"/>
      <x:c r="H35" s="22" t="str">
        <x:v>CX/12 | CX | CONTEUDO12 | FATOR12</x:v>
      </x:c>
      <x:c r="I35" s="22" t="str">
        <x:v>CAIXA</x:v>
      </x:c>
      <x:c r="J35" s="22" t="str">
        <x:v>RIOQUÍMICA</x:v>
      </x:c>
      <x:c r="K35" s="28" t="str">
        <x:f>"GTIN: 7897780208275"</x:f>
        <x:v>GTIN: 7897780208275</x:v>
      </x:c>
      <x:c r="L35" s="28" t="str">
        <x:f>"38089429"</x:f>
        <x:v>38089429</x:v>
      </x:c>
      <x:c r="M35" s="22" t="str">
        <x:v>UN</x:v>
      </x:c>
      <x:c r="N35" s="22" t="str">
        <x:v>CX</x:v>
      </x:c>
      <x:c r="O35" s="22" t="n">
        <x:v>12</x:v>
      </x:c>
      <x:c r="P35" s="28" t="str">
        <x:f>"46"</x:f>
        <x:v>46</x:v>
      </x:c>
      <x:c r="Q35" s="28" t="str">
        <x:f>"AE70003"</x:f>
        <x:v>AE70003</x:v>
      </x:c>
    </x:row>
    <x:row r="36">
      <x:c r="A36" s="22" t="n">
        <x:v>32</x:v>
      </x:c>
      <x:c r="B36" s="28" t="str">
        <x:f>"A(H0004"</x:f>
        <x:v>A(H0004</x:v>
      </x:c>
      <x:c r="C36" s="22" t="str">
        <x:v>ALFAPOETINA ( HEMAX ERITRON) 4000 UI - ACHE - CX/1</x:v>
      </x:c>
      <x:c r="D36" s="22" t="str">
        <x:v>ALFAPOETINA</x:v>
      </x:c>
      <x:c r="E36" s="22" t="str">
        <x:v>ALFAPOETINA</x:v>
      </x:c>
      <x:c r="F36" s="22" t="str">
        <x:v>4000UI</x:v>
      </x:c>
      <x:c r="G36" s="22" t="str"/>
      <x:c r="H36" s="22" t="str">
        <x:v>CX/1 | CX | CONTEUDO1</x:v>
      </x:c>
      <x:c r="I36" s="22" t="str">
        <x:v>CAIXA</x:v>
      </x:c>
      <x:c r="J36" s="22" t="str">
        <x:v>ACHE</x:v>
      </x:c>
      <x:c r="K36" s="28" t="str">
        <x:f>"GTIN: 7896181904250"</x:f>
        <x:v>GTIN: 7896181904250</x:v>
      </x:c>
      <x:c r="L36" s="28" t="str">
        <x:f>"35040090"</x:f>
        <x:v>35040090</x:v>
      </x:c>
      <x:c r="M36" s="22" t="str">
        <x:v>UN</x:v>
      </x:c>
      <x:c r="N36" s="22" t="str">
        <x:v>CX</x:v>
      </x:c>
      <x:c r="O36" s="22" t="n">
        <x:v>1</x:v>
      </x:c>
      <x:c r="P36" s="28" t="str">
        <x:f>"47 | 48 | 49 | 50 | 51"</x:f>
        <x:v>47 | 48 | 49 | 50 | 51</x:v>
      </x:c>
      <x:c r="Q36" s="28" t="str">
        <x:f>"A(H0002 | A(H0001 | A(H0008 | A(H0004 | A(H0003"</x:f>
        <x:v>A(H0002 | A(H0001 | A(H0008 | A(H0004 | A(H0003</x:v>
      </x:c>
    </x:row>
    <x:row r="37">
      <x:c r="A37" s="22" t="n">
        <x:v>33</x:v>
      </x:c>
      <x:c r="B37" s="28" t="str">
        <x:f>"A+C0004"</x:f>
        <x:v>A+C0004</x:v>
      </x:c>
      <x:c r="C37" s="22" t="str">
        <x:v>AMOXICILINA + CLAVULANATO 1000MG + 200MG - CX/20 - BLAU</x:v>
      </x:c>
      <x:c r="D37" s="22" t="str">
        <x:v>AMOXICILINA + CLAVULANATO +</x:v>
      </x:c>
      <x:c r="E37" s="22" t="str">
        <x:v>AMOXICILINA CLAVULANATO</x:v>
      </x:c>
      <x:c r="F37" s="22" t="str">
        <x:v>1000MG | 200MG</x:v>
      </x:c>
      <x:c r="G37" s="22" t="str"/>
      <x:c r="H37" s="22" t="str">
        <x:v>CX/20 | CX | CONTEUDO20 | FATOR20</x:v>
      </x:c>
      <x:c r="I37" s="22" t="str">
        <x:v>CAIXA</x:v>
      </x:c>
      <x:c r="J37" s="22" t="str">
        <x:v>BLAU</x:v>
      </x:c>
      <x:c r="K37" s="28" t="str">
        <x:f>"GTIN: 7891317003371"</x:f>
        <x:v>GTIN: 7891317003371</x:v>
      </x:c>
      <x:c r="L37" s="28" t="str">
        <x:f>"30041012"</x:f>
        <x:v>30041012</x:v>
      </x:c>
      <x:c r="M37" s="22" t="str">
        <x:v>UN</x:v>
      </x:c>
      <x:c r="N37" s="22" t="str">
        <x:v>CX</x:v>
      </x:c>
      <x:c r="O37" s="22" t="n">
        <x:v>20</x:v>
      </x:c>
      <x:c r="P37" s="28" t="str">
        <x:f>"52 | 53 | 54 | 55 | 56 | 57"</x:f>
        <x:v>52 | 53 | 54 | 55 | 56 | 57</x:v>
      </x:c>
      <x:c r="Q37" s="28" t="str">
        <x:f>"A+C0004 | A+C0001 | A+C0005 | A+C0009 | A+C0006 | A+C0008"</x:f>
        <x:v>A+C0004 | A+C0001 | A+C0005 | A+C0009 | A+C0006 | A+C0008</x:v>
      </x:c>
    </x:row>
    <x:row r="38">
      <x:c r="A38" s="22" t="n">
        <x:v>34</x:v>
      </x:c>
      <x:c r="B38" s="28" t="str">
        <x:f>"A+C0010"</x:f>
        <x:v>A+C0010</x:v>
      </x:c>
      <x:c r="C38" s="22" t="str">
        <x:v>AMOXICILINA + CLAVULANATO 1G + 200MG - CX/10 - EUGIA</x:v>
      </x:c>
      <x:c r="D38" s="22" t="str">
        <x:v>AMOXICILINA + CLAVULANATO +</x:v>
      </x:c>
      <x:c r="E38" s="22" t="str">
        <x:v>AMOXICILINA CLAVULANATO</x:v>
      </x:c>
      <x:c r="F38" s="22" t="str">
        <x:v>1G | 200MG</x:v>
      </x:c>
      <x:c r="G38" s="22" t="str">
        <x:v>1G</x:v>
      </x:c>
      <x:c r="H38" s="22" t="str">
        <x:v>CX/10 | CX | CONTEUDO10 | FATOR10</x:v>
      </x:c>
      <x:c r="I38" s="22" t="str">
        <x:v>CAIXA</x:v>
      </x:c>
      <x:c r="J38" s="22" t="str">
        <x:v>EUGIA</x:v>
      </x:c>
      <x:c r="K38" s="28" t="str">
        <x:f>"GTIN: 7898739420304"</x:f>
        <x:v>GTIN: 7898739420304</x:v>
      </x:c>
      <x:c r="L38" s="28" t="str">
        <x:f>"30041012"</x:f>
        <x:v>30041012</x:v>
      </x:c>
      <x:c r="M38" s="22" t="str">
        <x:v>UN</x:v>
      </x:c>
      <x:c r="N38" s="22" t="str">
        <x:v>CX</x:v>
      </x:c>
      <x:c r="O38" s="22" t="n">
        <x:v>10</x:v>
      </x:c>
      <x:c r="P38" s="28" t="str">
        <x:f>"58 | 59 | 60 | 61"</x:f>
        <x:v>58 | 59 | 60 | 61</x:v>
      </x:c>
      <x:c r="Q38" s="28" t="str">
        <x:f>"A+C0010 | A+C0002 | A+C0007 | A+C0003"</x:f>
        <x:v>A+C0010 | A+C0002 | A+C0007 | A+C0003</x:v>
      </x:c>
    </x:row>
    <x:row r="39">
      <x:c r="A39" s="22" t="n">
        <x:v>35</x:v>
      </x:c>
      <x:c r="B39" s="28" t="str">
        <x:f>"A+C0037"</x:f>
        <x:v>A+C0037</x:v>
      </x:c>
      <x:c r="C39" s="22" t="str">
        <x:v>AMOXICILINA + CLAVULANATO 1G + 200MG - CX/10 - EUROFARMA</x:v>
      </x:c>
      <x:c r="D39" s="22" t="str">
        <x:v>AMOXICILINA + CLAVULANATO +</x:v>
      </x:c>
      <x:c r="E39" s="22" t="str">
        <x:v>AMOXICILINA CLAVULANATO</x:v>
      </x:c>
      <x:c r="F39" s="22" t="str">
        <x:v>1G | 200MG</x:v>
      </x:c>
      <x:c r="G39" s="22" t="str">
        <x:v>1G</x:v>
      </x:c>
      <x:c r="H39" s="22" t="str">
        <x:v>CX/10 | CX | CONTEUDO10 | FATOR10</x:v>
      </x:c>
      <x:c r="I39" s="22" t="str">
        <x:v>CAIXA</x:v>
      </x:c>
      <x:c r="J39" s="22" t="str">
        <x:v>EUROFARMA</x:v>
      </x:c>
      <x:c r="K39" s="28" t="str">
        <x:f>"GTIN: 7891317003371"</x:f>
        <x:v>GTIN: 7891317003371</x:v>
      </x:c>
      <x:c r="L39" s="28" t="str">
        <x:f>"30041012"</x:f>
        <x:v>30041012</x:v>
      </x:c>
      <x:c r="M39" s="22" t="str">
        <x:v>UN</x:v>
      </x:c>
      <x:c r="N39" s="22" t="str">
        <x:v>CX</x:v>
      </x:c>
      <x:c r="O39" s="22" t="n">
        <x:v>10</x:v>
      </x:c>
      <x:c r="P39" s="28" t="str">
        <x:f>"62"</x:f>
        <x:v>62</x:v>
      </x:c>
      <x:c r="Q39" s="28" t="str">
        <x:f>"A+C0037"</x:f>
        <x:v>A+C0037</x:v>
      </x:c>
    </x:row>
    <x:row r="40">
      <x:c r="A40" s="22" t="n">
        <x:v>36</x:v>
      </x:c>
      <x:c r="B40" s="28" t="str">
        <x:f>"APV0001"</x:f>
        <x:v>APV0001</x:v>
      </x:c>
      <x:c r="C40" s="22" t="str">
        <x:v>APARELHO DE PRESSÃO VELCRO S/ESTETO - ACCUMED</x:v>
      </x:c>
      <x:c r="D40" s="22" t="str">
        <x:v>APARELHO PRESSAO VELCRO ESTETO</x:v>
      </x:c>
      <x:c r="E40" s="22" t="str">
        <x:v>APARELHO PRESSAO VELCRO</x:v>
      </x:c>
      <x:c r="F40" s="22" t="str"/>
      <x:c r="G40" s="22" t="str"/>
      <x:c r="H40" s="22" t="str">
        <x:v>PC</x:v>
      </x:c>
      <x:c r="I40" s="22" t="str">
        <x:v>OUTRA</x:v>
      </x:c>
      <x:c r="J40" s="22" t="str">
        <x:v>ACCUMED</x:v>
      </x:c>
      <x:c r="K40" s="28" t="str">
        <x:f>"GTIN: 7890017996204"</x:f>
        <x:v>GTIN: 7890017996204</x:v>
      </x:c>
      <x:c r="L40" s="28" t="str">
        <x:f>"90189069"</x:f>
        <x:v>90189069</x:v>
      </x:c>
      <x:c r="M40" s="22" t="str">
        <x:v>PC</x:v>
      </x:c>
      <x:c r="N40" s="22" t="str">
        <x:v>PC</x:v>
      </x:c>
      <x:c r="O40" s="22" t="n">
        <x:v>1</x:v>
      </x:c>
      <x:c r="P40" s="28" t="str">
        <x:f>"63"</x:f>
        <x:v>63</x:v>
      </x:c>
      <x:c r="Q40" s="28" t="str">
        <x:f>"APV0001"</x:f>
        <x:v>APV0001</x:v>
      </x:c>
    </x:row>
    <x:row r="41">
      <x:c r="A41" s="22" t="n">
        <x:v>37</x:v>
      </x:c>
      <x:c r="B41" s="28" t="str">
        <x:f>"AA20001"</x:f>
        <x:v>AA20001</x:v>
      </x:c>
      <x:c r="C41" s="22" t="str">
        <x:v>ARTERIOFIX CONJ. DE CATETERIZAÇÃO ARTERIAL 20G/80MM (RADIAL) - BBRAUM - LOT: 24I0484402</x:v>
      </x:c>
      <x:c r="D41" s="22" t="str">
        <x:v>ARTERIOFIX CONJ CATETERIZACAO ARTERIAL LOT 24I0484402</x:v>
      </x:c>
      <x:c r="E41" s="22" t="str">
        <x:v>ARTERIOFIX CONJ CATETERIZACAO</x:v>
      </x:c>
      <x:c r="F41" s="22" t="str">
        <x:v>20G</x:v>
      </x:c>
      <x:c r="G41" s="22" t="str">
        <x:v>20G</x:v>
      </x:c>
      <x:c r="H41" s="22" t="str">
        <x:v>UN</x:v>
      </x:c>
      <x:c r="I41" s="22" t="str">
        <x:v>UNIDADE</x:v>
      </x:c>
      <x:c r="J41" s="22" t="str">
        <x:v>BBRAUM</x:v>
      </x:c>
      <x:c r="K41" s="28" t="str"/>
      <x:c r="L41" s="28" t="str">
        <x:f>"90183924"</x:f>
        <x:v>90183924</x:v>
      </x:c>
      <x:c r="M41" s="22" t="str">
        <x:v>UN</x:v>
      </x:c>
      <x:c r="N41" s="22" t="str">
        <x:v>UN</x:v>
      </x:c>
      <x:c r="O41" s="22" t="n">
        <x:v>1</x:v>
      </x:c>
      <x:c r="P41" s="28" t="str">
        <x:f>"64"</x:f>
        <x:v>64</x:v>
      </x:c>
      <x:c r="Q41" s="28" t="str">
        <x:f>"AA20001"</x:f>
        <x:v>AA20001</x:v>
      </x:c>
    </x:row>
    <x:row r="42">
      <x:c r="A42" s="22" t="n">
        <x:v>38</x:v>
      </x:c>
      <x:c r="B42" s="28" t="str">
        <x:f>"ABG0001"</x:f>
        <x:v>ABG0001</x:v>
      </x:c>
      <x:c r="C42" s="22" t="str">
        <x:v>AVENTAL AZUL S/ MANGA 30GR - PCT/10 - DEJAMARO</x:v>
      </x:c>
      <x:c r="D42" s="22" t="str">
        <x:v>AVENTAL AZUL MANGA</x:v>
      </x:c>
      <x:c r="E42" s="22" t="str">
        <x:v>AVENTAL AZUL MANGA</x:v>
      </x:c>
      <x:c r="F42" s="22" t="str"/>
      <x:c r="G42" s="22" t="str"/>
      <x:c r="H42" s="22" t="str">
        <x:v>PCT/10 | PCT | CONTEUDO10 | FATOR10</x:v>
      </x:c>
      <x:c r="I42" s="22" t="str">
        <x:v>OUTRA</x:v>
      </x:c>
      <x:c r="J42" s="22" t="str">
        <x:v>DEJAMARO</x:v>
      </x:c>
      <x:c r="K42" s="28" t="str"/>
      <x:c r="L42" s="28" t="str">
        <x:f>"39262000"</x:f>
        <x:v>39262000</x:v>
      </x:c>
      <x:c r="M42" s="22" t="str">
        <x:v>UN</x:v>
      </x:c>
      <x:c r="N42" s="22" t="str">
        <x:v>PCT</x:v>
      </x:c>
      <x:c r="O42" s="22" t="n">
        <x:v>10</x:v>
      </x:c>
      <x:c r="P42" s="28" t="str">
        <x:f>"65"</x:f>
        <x:v>65</x:v>
      </x:c>
      <x:c r="Q42" s="28" t="str">
        <x:f>"ABG0001"</x:f>
        <x:v>ABG0001</x:v>
      </x:c>
    </x:row>
    <x:row r="43">
      <x:c r="A43" s="22" t="n">
        <x:v>39</x:v>
      </x:c>
      <x:c r="B43" s="28" t="str">
        <x:f>"ABG0004"</x:f>
        <x:v>ABG0004</x:v>
      </x:c>
      <x:c r="C43" s="22" t="str">
        <x:v>AVENTAL BRANCO GR 30 MEDIA S/M - PCT10 - DEJAMARO</x:v>
      </x:c>
      <x:c r="D43" s="22" t="str">
        <x:v>AVENTAL BRANCO GR MEDIA M</x:v>
      </x:c>
      <x:c r="E43" s="22" t="str">
        <x:v>AVENTAL BRANCO GR</x:v>
      </x:c>
      <x:c r="F43" s="22" t="str"/>
      <x:c r="G43" s="22" t="str"/>
      <x:c r="H43" s="22" t="str">
        <x:v>PCT10 | PCT | CONTEUDO10 | FATOR10</x:v>
      </x:c>
      <x:c r="I43" s="22" t="str">
        <x:v>OUTRA</x:v>
      </x:c>
      <x:c r="J43" s="22" t="str">
        <x:v>DEJAMARO</x:v>
      </x:c>
      <x:c r="K43" s="28" t="str">
        <x:f>"GTIN: 7898467260654"</x:f>
        <x:v>GTIN: 7898467260654</x:v>
      </x:c>
      <x:c r="L43" s="28" t="str">
        <x:f>"39262000"</x:f>
        <x:v>39262000</x:v>
      </x:c>
      <x:c r="M43" s="22" t="str">
        <x:v>UN</x:v>
      </x:c>
      <x:c r="N43" s="22" t="str">
        <x:v>PCT</x:v>
      </x:c>
      <x:c r="O43" s="22" t="n">
        <x:v>10</x:v>
      </x:c>
      <x:c r="P43" s="28" t="str">
        <x:f>"66"</x:f>
        <x:v>66</x:v>
      </x:c>
      <x:c r="Q43" s="28" t="str">
        <x:f>"ABG0004"</x:f>
        <x:v>ABG0004</x:v>
      </x:c>
    </x:row>
    <x:row r="44">
      <x:c r="A44" s="22" t="n">
        <x:v>40</x:v>
      </x:c>
      <x:c r="B44" s="28" t="str">
        <x:f>"ACE0001"</x:f>
        <x:v>ACE0001</x:v>
      </x:c>
      <x:c r="C44" s="22" t="str">
        <x:v>AVENTAL CIRURGICO ESTERIL AZUL ML 40GR C/TOALHA - CX/35 - PION G</x:v>
      </x:c>
      <x:c r="D44" s="22" t="str">
        <x:v>AVENTAL CIRURGICO ESTERIL AZUL ML TOALHA</x:v>
      </x:c>
      <x:c r="E44" s="22" t="str">
        <x:v>AVENTAL CIRURGICO ESTERIL</x:v>
      </x:c>
      <x:c r="F44" s="22" t="str"/>
      <x:c r="G44" s="22" t="str"/>
      <x:c r="H44" s="22" t="str">
        <x:v>CX/35 | CX | CONTEUDO35 | FATOR35</x:v>
      </x:c>
      <x:c r="I44" s="22" t="str">
        <x:v>CAIXA</x:v>
      </x:c>
      <x:c r="J44" s="22" t="str">
        <x:v>PION G</x:v>
      </x:c>
      <x:c r="K44" s="28" t="str">
        <x:f>"GTIN: 7898283816509"</x:f>
        <x:v>GTIN: 7898283816509</x:v>
      </x:c>
      <x:c r="L44" s="28" t="str">
        <x:f>"63079010"</x:f>
        <x:v>63079010</x:v>
      </x:c>
      <x:c r="M44" s="22" t="str">
        <x:v>UN</x:v>
      </x:c>
      <x:c r="N44" s="22" t="str">
        <x:v>CX</x:v>
      </x:c>
      <x:c r="O44" s="22" t="n">
        <x:v>35</x:v>
      </x:c>
      <x:c r="P44" s="28" t="str">
        <x:f>"67"</x:f>
        <x:v>67</x:v>
      </x:c>
      <x:c r="Q44" s="28" t="str">
        <x:f>"ACE0001"</x:f>
        <x:v>ACE0001</x:v>
      </x:c>
    </x:row>
    <x:row r="45">
      <x:c r="A45" s="22" t="n">
        <x:v>41</x:v>
      </x:c>
      <x:c r="B45" s="28" t="str">
        <x:f>"ACE0002"</x:f>
        <x:v>ACE0002</x:v>
      </x:c>
      <x:c r="C45" s="22" t="str">
        <x:v>AVENTAL CIRURGICO ESTERIL STANDARD AZUL ML 40GR C/TOALHA - CX/40 - PION G</x:v>
      </x:c>
      <x:c r="D45" s="22" t="str">
        <x:v>AVENTAL CIRURGICO ESTERIL STANDARD AZUL ML TOALHA</x:v>
      </x:c>
      <x:c r="E45" s="22" t="str">
        <x:v>AVENTAL CIRURGICO ESTERIL</x:v>
      </x:c>
      <x:c r="F45" s="22" t="str"/>
      <x:c r="G45" s="22" t="str"/>
      <x:c r="H45" s="22" t="str">
        <x:v>CX/40 | CX | CONTEUDO35 | FATOR35</x:v>
      </x:c>
      <x:c r="I45" s="22" t="str">
        <x:v>CAIXA</x:v>
      </x:c>
      <x:c r="J45" s="22" t="str">
        <x:v>PION G</x:v>
      </x:c>
      <x:c r="K45" s="28" t="str">
        <x:f>"GTIN: 7898283816509"</x:f>
        <x:v>GTIN: 7898283816509</x:v>
      </x:c>
      <x:c r="L45" s="28" t="str">
        <x:f>"63079010"</x:f>
        <x:v>63079010</x:v>
      </x:c>
      <x:c r="M45" s="22" t="str">
        <x:v>UN</x:v>
      </x:c>
      <x:c r="N45" s="22" t="str">
        <x:v>CX</x:v>
      </x:c>
      <x:c r="O45" s="22" t="n">
        <x:v>35</x:v>
      </x:c>
      <x:c r="P45" s="28" t="str">
        <x:f>"68"</x:f>
        <x:v>68</x:v>
      </x:c>
      <x:c r="Q45" s="28" t="str">
        <x:f>"ACE0002"</x:f>
        <x:v>ACE0002</x:v>
      </x:c>
    </x:row>
    <x:row r="46">
      <x:c r="A46" s="22" t="n">
        <x:v>42</x:v>
      </x:c>
      <x:c r="B46" s="28" t="str">
        <x:f>"ACS0001"</x:f>
        <x:v>ACS0001</x:v>
      </x:c>
      <x:c r="C46" s="22" t="str">
        <x:v>AVENTAL CIRÚRGICO SMS GR40 ESTÉRIL MANGA LONGA TAM G AZUL CX/50 - WINNER</x:v>
      </x:c>
      <x:c r="D46" s="22" t="str">
        <x:v>AVENTAL CIRURGICO SMS GR40 ESTERIL MANGA LONGA TAM G AZUL</x:v>
      </x:c>
      <x:c r="E46" s="22" t="str">
        <x:v>AVENTAL CIRURGICO SMS</x:v>
      </x:c>
      <x:c r="F46" s="22" t="str"/>
      <x:c r="G46" s="22" t="str">
        <x:v>TAMG</x:v>
      </x:c>
      <x:c r="H46" s="22" t="str">
        <x:v>CX/50 | CX | CONTEUDO50 | FATOR50</x:v>
      </x:c>
      <x:c r="I46" s="22" t="str">
        <x:v>CAIXA</x:v>
      </x:c>
      <x:c r="J46" s="22" t="str">
        <x:v>WINNER</x:v>
      </x:c>
      <x:c r="K46" s="28" t="str">
        <x:f>"GTIN: 9991234137901"</x:f>
        <x:v>GTIN: 9991234137901</x:v>
      </x:c>
      <x:c r="L46" s="28" t="str">
        <x:f>"62101000"</x:f>
        <x:v>62101000</x:v>
      </x:c>
      <x:c r="M46" s="22" t="str">
        <x:v>UN</x:v>
      </x:c>
      <x:c r="N46" s="22" t="str">
        <x:v>CX</x:v>
      </x:c>
      <x:c r="O46" s="22" t="n">
        <x:v>50</x:v>
      </x:c>
      <x:c r="P46" s="28" t="str">
        <x:f>"69"</x:f>
        <x:v>69</x:v>
      </x:c>
      <x:c r="Q46" s="28" t="str">
        <x:f>"ACS0001"</x:f>
        <x:v>ACS0001</x:v>
      </x:c>
    </x:row>
    <x:row r="47">
      <x:c r="A47" s="22" t="n">
        <x:v>43</x:v>
      </x:c>
      <x:c r="B47" s="28" t="str">
        <x:f>"ACS0002"</x:f>
        <x:v>ACS0002</x:v>
      </x:c>
      <x:c r="C47" s="22" t="str">
        <x:v>AVENTAL CIRÚRGICO SMS GR50 ESTÉRIL MANGA LONGA TAM G AZUL CX/50 - WINNER</x:v>
      </x:c>
      <x:c r="D47" s="22" t="str">
        <x:v>AVENTAL CIRURGICO SMS GR50 ESTERIL MANGA LONGA TAM G AZUL</x:v>
      </x:c>
      <x:c r="E47" s="22" t="str">
        <x:v>AVENTAL CIRURGICO SMS</x:v>
      </x:c>
      <x:c r="F47" s="22" t="str"/>
      <x:c r="G47" s="22" t="str">
        <x:v>TAMG</x:v>
      </x:c>
      <x:c r="H47" s="22" t="str">
        <x:v>CX/50 | CX | CONTEUDO50 | FATOR50</x:v>
      </x:c>
      <x:c r="I47" s="22" t="str">
        <x:v>CAIXA</x:v>
      </x:c>
      <x:c r="J47" s="22" t="str">
        <x:v>WINNER</x:v>
      </x:c>
      <x:c r="K47" s="28" t="str">
        <x:f>"GTIN: 9991234137901"</x:f>
        <x:v>GTIN: 9991234137901</x:v>
      </x:c>
      <x:c r="L47" s="28" t="str">
        <x:f>"62101000"</x:f>
        <x:v>62101000</x:v>
      </x:c>
      <x:c r="M47" s="22" t="str">
        <x:v>UN</x:v>
      </x:c>
      <x:c r="N47" s="22" t="str">
        <x:v>CX</x:v>
      </x:c>
      <x:c r="O47" s="22" t="n">
        <x:v>50</x:v>
      </x:c>
      <x:c r="P47" s="28" t="str">
        <x:f>"70"</x:f>
        <x:v>70</x:v>
      </x:c>
      <x:c r="Q47" s="28" t="str">
        <x:f>"ACS0002"</x:f>
        <x:v>ACS0002</x:v>
      </x:c>
    </x:row>
    <x:row r="48">
      <x:c r="A48" s="22" t="n">
        <x:v>44</x:v>
      </x:c>
      <x:c r="B48" s="28" t="str">
        <x:f>"AAS0001"</x:f>
        <x:v>AAS0001</x:v>
      </x:c>
      <x:c r="C48" s="22" t="str">
        <x:v>AVENTAL DESCARTÁVEL AZUL S/ MANGA 30GR - PCT/10 - LIVE</x:v>
      </x:c>
      <x:c r="D48" s="22" t="str">
        <x:v>AVENTAL DESCARTAVEL AZUL MANGA</x:v>
      </x:c>
      <x:c r="E48" s="22" t="str">
        <x:v>AVENTAL DESCARTAVEL AZUL</x:v>
      </x:c>
      <x:c r="F48" s="22" t="str"/>
      <x:c r="G48" s="22" t="str"/>
      <x:c r="H48" s="22" t="str">
        <x:v>PCT/10 | PCT | CONTEUDO10 | FATOR10</x:v>
      </x:c>
      <x:c r="I48" s="22" t="str">
        <x:v>OUTRA</x:v>
      </x:c>
      <x:c r="J48" s="22" t="str">
        <x:v>LIVE</x:v>
      </x:c>
      <x:c r="K48" s="28" t="str"/>
      <x:c r="L48" s="28" t="str">
        <x:f>"39262000"</x:f>
        <x:v>39262000</x:v>
      </x:c>
      <x:c r="M48" s="22" t="str">
        <x:v>UN</x:v>
      </x:c>
      <x:c r="N48" s="22" t="str">
        <x:v>PCT</x:v>
      </x:c>
      <x:c r="O48" s="22" t="n">
        <x:v>10</x:v>
      </x:c>
      <x:c r="P48" s="28" t="str">
        <x:f>"71"</x:f>
        <x:v>71</x:v>
      </x:c>
      <x:c r="Q48" s="28" t="str">
        <x:f>"AAS0001"</x:f>
        <x:v>AAS0001</x:v>
      </x:c>
    </x:row>
    <x:row r="49">
      <x:c r="A49" s="22" t="n">
        <x:v>45</x:v>
      </x:c>
      <x:c r="B49" s="28" t="str">
        <x:f>"ABG0006"</x:f>
        <x:v>ABG0006</x:v>
      </x:c>
      <x:c r="C49" s="22" t="str">
        <x:v>AVENTAL VERDE GR MEDIA S/M - PCT/10 - DEJAMARO</x:v>
      </x:c>
      <x:c r="D49" s="22" t="str">
        <x:v>AVENTAL VERDE GR MEDIA M</x:v>
      </x:c>
      <x:c r="E49" s="22" t="str">
        <x:v>AVENTAL VERDE GR</x:v>
      </x:c>
      <x:c r="F49" s="22" t="str"/>
      <x:c r="G49" s="22" t="str"/>
      <x:c r="H49" s="22" t="str">
        <x:v>PCT/10 | PCT | CONTEUDO10 | FATOR10</x:v>
      </x:c>
      <x:c r="I49" s="22" t="str">
        <x:v>OUTRA</x:v>
      </x:c>
      <x:c r="J49" s="22" t="str">
        <x:v>DEJAMARO</x:v>
      </x:c>
      <x:c r="K49" s="28" t="str">
        <x:f>"GTIN: 7898283816509"</x:f>
        <x:v>GTIN: 7898283816509</x:v>
      </x:c>
      <x:c r="L49" s="28" t="str">
        <x:f>"39262000"</x:f>
        <x:v>39262000</x:v>
      </x:c>
      <x:c r="M49" s="22" t="str">
        <x:v>UN</x:v>
      </x:c>
      <x:c r="N49" s="22" t="str">
        <x:v>PCT</x:v>
      </x:c>
      <x:c r="O49" s="22" t="n">
        <x:v>10</x:v>
      </x:c>
      <x:c r="P49" s="28" t="str">
        <x:f>"72"</x:f>
        <x:v>72</x:v>
      </x:c>
      <x:c r="Q49" s="28" t="str">
        <x:f>"ABG0006"</x:f>
        <x:v>ABG0006</x:v>
      </x:c>
    </x:row>
    <x:row r="50">
      <x:c r="A50" s="22" t="n">
        <x:v>46</x:v>
      </x:c>
      <x:c r="B50" s="28" t="str">
        <x:f>"ADA0001"</x:f>
        <x:v>ADA0001</x:v>
      </x:c>
      <x:c r="C50" s="22" t="str">
        <x:v>AZITROMICINA DI-HIDRATADA AZICIN 500MG CX/10 - CRISTÁLIA</x:v>
      </x:c>
      <x:c r="D50" s="22" t="str">
        <x:v>AZITROMICINA DI HIDRATADA AZICIN</x:v>
      </x:c>
      <x:c r="E50" s="22" t="str">
        <x:v>AZITROMICINA DI HIDRATADA</x:v>
      </x:c>
      <x:c r="F50" s="22" t="str">
        <x:v>500MG</x:v>
      </x:c>
      <x:c r="G50" s="22" t="str"/>
      <x:c r="H50" s="22" t="str">
        <x:v>CX/10 | CX | CONTEUDO10 | FATOR10</x:v>
      </x:c>
      <x:c r="I50" s="22" t="str">
        <x:v>CAIXA</x:v>
      </x:c>
      <x:c r="J50" s="22" t="str">
        <x:v>CRISTÁLIA</x:v>
      </x:c>
      <x:c r="K50" s="28" t="str">
        <x:f>"GTIN: 7898216365708"</x:f>
        <x:v>GTIN: 7898216365708</x:v>
      </x:c>
      <x:c r="L50" s="28" t="str">
        <x:f>"30042029"</x:f>
        <x:v>30042029</x:v>
      </x:c>
      <x:c r="M50" s="22" t="str">
        <x:v>UN</x:v>
      </x:c>
      <x:c r="N50" s="22" t="str">
        <x:v>CX</x:v>
      </x:c>
      <x:c r="O50" s="22" t="n">
        <x:v>10</x:v>
      </x:c>
      <x:c r="P50" s="28" t="str">
        <x:f>"73 | 74"</x:f>
        <x:v>73 | 74</x:v>
      </x:c>
      <x:c r="Q50" s="28" t="str">
        <x:f>"ADA0001 | ADA0002"</x:f>
        <x:v>ADA0001 | ADA0002</x:v>
      </x:c>
    </x:row>
    <x:row r="51">
      <x:c r="A51" s="22" t="n">
        <x:v>47</x:v>
      </x:c>
      <x:c r="B51" s="28" t="str">
        <x:f>"ADA0003"</x:f>
        <x:v>ADA0003</x:v>
      </x:c>
      <x:c r="C51" s="22" t="str">
        <x:v>AZITROMICINA DI-HIDRATADA AZICIN 500MG CX/10 - GLOBO</x:v>
      </x:c>
      <x:c r="D51" s="22" t="str">
        <x:v>AZITROMICINA DI HIDRATADA AZICIN</x:v>
      </x:c>
      <x:c r="E51" s="22" t="str">
        <x:v>AZITROMICINA DI HIDRATADA</x:v>
      </x:c>
      <x:c r="F51" s="22" t="str">
        <x:v>500MG</x:v>
      </x:c>
      <x:c r="G51" s="22" t="str"/>
      <x:c r="H51" s="22" t="str">
        <x:v>CX/10 | CX | CONTEUDO10 | FATOR10</x:v>
      </x:c>
      <x:c r="I51" s="22" t="str">
        <x:v>CAIXA</x:v>
      </x:c>
      <x:c r="J51" s="22" t="str">
        <x:v>GLOBO</x:v>
      </x:c>
      <x:c r="K51" s="28" t="str">
        <x:f>"GTIN: 7898216365708"</x:f>
        <x:v>GTIN: 7898216365708</x:v>
      </x:c>
      <x:c r="L51" s="28" t="str">
        <x:f>"30042029"</x:f>
        <x:v>30042029</x:v>
      </x:c>
      <x:c r="M51" s="22" t="str">
        <x:v>UN</x:v>
      </x:c>
      <x:c r="N51" s="22" t="str">
        <x:v>CX</x:v>
      </x:c>
      <x:c r="O51" s="22" t="n">
        <x:v>10</x:v>
      </x:c>
      <x:c r="P51" s="28" t="str">
        <x:f>"75"</x:f>
        <x:v>75</x:v>
      </x:c>
      <x:c r="Q51" s="28" t="str">
        <x:f>"ADA0003"</x:f>
        <x:v>ADA0003</x:v>
      </x:c>
    </x:row>
    <x:row r="52">
      <x:c r="A52" s="22" t="n">
        <x:v>48</x:v>
      </x:c>
      <x:c r="B52" s="28" t="str">
        <x:f>"BS80001"</x:f>
        <x:v>BS80001</x:v>
      </x:c>
      <x:c r="C52" s="22" t="str">
        <x:v>BICABORNATO DE SÓDIO 8,4% 10ML - SAMTEC</x:v>
      </x:c>
      <x:c r="D52" s="22" t="str">
        <x:v>BICABORNATO SODIO %</x:v>
      </x:c>
      <x:c r="E52" s="22" t="str">
        <x:v>BICABORNATO SODIO</x:v>
      </x:c>
      <x:c r="F52" s="22" t="str">
        <x:v>10ML</x:v>
      </x:c>
      <x:c r="G52" s="22" t="str"/>
      <x:c r="H52" s="22" t="str">
        <x:v>UN</x:v>
      </x:c>
      <x:c r="I52" s="22" t="str">
        <x:v>UNIDADE</x:v>
      </x:c>
      <x:c r="J52" s="22" t="str">
        <x:v>SAMTEC</x:v>
      </x:c>
      <x:c r="K52" s="28" t="str"/>
      <x:c r="L52" s="28" t="str">
        <x:f>"30049099"</x:f>
        <x:v>30049099</x:v>
      </x:c>
      <x:c r="M52" s="22" t="str">
        <x:v>UN</x:v>
      </x:c>
      <x:c r="N52" s="22" t="str">
        <x:v>UN</x:v>
      </x:c>
      <x:c r="O52" s="22" t="n">
        <x:v>1</x:v>
      </x:c>
      <x:c r="P52" s="28" t="str">
        <x:f>"76"</x:f>
        <x:v>76</x:v>
      </x:c>
      <x:c r="Q52" s="28" t="str">
        <x:f>"BS80001"</x:f>
        <x:v>BS80001</x:v>
      </x:c>
    </x:row>
    <x:row r="53">
      <x:c r="A53" s="22" t="n">
        <x:v>49</x:v>
      </x:c>
      <x:c r="B53" s="28" t="str">
        <x:f>"BPT0002"</x:f>
        <x:v>BPT0002</x:v>
      </x:c>
      <x:c r="C53" s="22" t="str">
        <x:v>BOLSA PARA TRANSPORTE REANIMADOR PROTEC UND</x:v>
      </x:c>
      <x:c r="D53" s="22" t="str">
        <x:v>PARA TRANSPORTE REANIMADOR</x:v>
      </x:c>
      <x:c r="E53" s="22" t="str">
        <x:v>PARA TRANSPORTE REANIMADOR</x:v>
      </x:c>
      <x:c r="F53" s="22" t="str"/>
      <x:c r="G53" s="22" t="str"/>
      <x:c r="H53" s="22" t="str">
        <x:v>BOLSA | UND</x:v>
      </x:c>
      <x:c r="I53" s="22" t="str">
        <x:v>BOLSA</x:v>
      </x:c>
      <x:c r="J53" s="22" t="str">
        <x:v>PROTEC</x:v>
      </x:c>
      <x:c r="K53" s="28" t="str">
        <x:f>"GTIN: 7908663921881"</x:f>
        <x:v>GTIN: 7908663921881</x:v>
      </x:c>
      <x:c r="L53" s="28" t="str">
        <x:f>"39162000"</x:f>
        <x:v>39162000</x:v>
      </x:c>
      <x:c r="M53" s="22" t="str">
        <x:v>UND</x:v>
      </x:c>
      <x:c r="N53" s="22" t="str">
        <x:v>UND</x:v>
      </x:c>
      <x:c r="O53" s="22" t="n">
        <x:v>1</x:v>
      </x:c>
      <x:c r="P53" s="28" t="str">
        <x:f>"77"</x:f>
        <x:v>77</x:v>
      </x:c>
      <x:c r="Q53" s="28" t="str">
        <x:f>"BPT0002"</x:f>
        <x:v>BPT0002</x:v>
      </x:c>
    </x:row>
    <x:row r="54">
      <x:c r="A54" s="22" t="n">
        <x:v>50</x:v>
      </x:c>
      <x:c r="B54" s="28" t="str">
        <x:f>"BR10002"</x:f>
        <x:v>BR10002</x:v>
      </x:c>
      <x:c r="C54" s="22" t="str">
        <x:v>BROMETO DE ROCURONIO 10MG/5ML - CX/25 - CRISTALIA</x:v>
      </x:c>
      <x:c r="D54" s="22" t="str">
        <x:v>BROMETO ROCURONIO</x:v>
      </x:c>
      <x:c r="E54" s="22" t="str">
        <x:v>BROMETO ROCURONIO</x:v>
      </x:c>
      <x:c r="F54" s="22" t="str">
        <x:v>10MG/5ML | 10MG | 5ML</x:v>
      </x:c>
      <x:c r="G54" s="22" t="str"/>
      <x:c r="H54" s="22" t="str">
        <x:v>CX/25 | CX | CONTEUDO25 | FATOR25</x:v>
      </x:c>
      <x:c r="I54" s="22" t="str">
        <x:v>CAIXA</x:v>
      </x:c>
      <x:c r="J54" s="22" t="str">
        <x:v>CRISTALIA</x:v>
      </x:c>
      <x:c r="K54" s="28" t="str"/>
      <x:c r="L54" s="28" t="str">
        <x:f>"30049079"</x:f>
        <x:v>30049079</x:v>
      </x:c>
      <x:c r="M54" s="22" t="str">
        <x:v>UN</x:v>
      </x:c>
      <x:c r="N54" s="22" t="str">
        <x:v>CX</x:v>
      </x:c>
      <x:c r="O54" s="22" t="n">
        <x:v>25</x:v>
      </x:c>
      <x:c r="P54" s="28" t="str">
        <x:f>"78 | 79 | 80"</x:f>
        <x:v>78 | 79 | 80</x:v>
      </x:c>
      <x:c r="Q54" s="28" t="str">
        <x:f>"BR10002 | BR10013 | BR10003"</x:f>
        <x:v>BR10002 | BR10013 | BR10003</x:v>
      </x:c>
    </x:row>
    <x:row r="55">
      <x:c r="A55" s="22" t="n">
        <x:v>51</x:v>
      </x:c>
      <x:c r="B55" s="28" t="str">
        <x:f>"BR10001"</x:f>
        <x:v>BR10001</x:v>
      </x:c>
      <x:c r="C55" s="22" t="str">
        <x:v>BROMETO DE ROCURONIO 10MG/5ML - CX/25 - VOLPHARMA</x:v>
      </x:c>
      <x:c r="D55" s="22" t="str">
        <x:v>BROMETO ROCURONIO</x:v>
      </x:c>
      <x:c r="E55" s="22" t="str">
        <x:v>BROMETO ROCURONIO</x:v>
      </x:c>
      <x:c r="F55" s="22" t="str">
        <x:v>10MG/5ML | 10MG | 5ML</x:v>
      </x:c>
      <x:c r="G55" s="22" t="str"/>
      <x:c r="H55" s="22" t="str">
        <x:v>CX/25 | CX | CONTEUDO25 | FATOR25</x:v>
      </x:c>
      <x:c r="I55" s="22" t="str">
        <x:v>CAIXA</x:v>
      </x:c>
      <x:c r="J55" s="22" t="str">
        <x:v>VOLPHARMA</x:v>
      </x:c>
      <x:c r="K55" s="28" t="str">
        <x:f>"GTIN: 7898560661969"</x:f>
        <x:v>GTIN: 7898560661969</x:v>
      </x:c>
      <x:c r="L55" s="28" t="str">
        <x:f>"30049079"</x:f>
        <x:v>30049079</x:v>
      </x:c>
      <x:c r="M55" s="22" t="str">
        <x:v>UN</x:v>
      </x:c>
      <x:c r="N55" s="22" t="str">
        <x:v>CX</x:v>
      </x:c>
      <x:c r="O55" s="22" t="n">
        <x:v>25</x:v>
      </x:c>
      <x:c r="P55" s="28" t="str">
        <x:f>"81"</x:f>
        <x:v>81</x:v>
      </x:c>
      <x:c r="Q55" s="28" t="str">
        <x:f>"BR10001"</x:f>
        <x:v>BR10001</x:v>
      </x:c>
    </x:row>
    <x:row r="56">
      <x:c r="A56" s="22" t="n">
        <x:v>52</x:v>
      </x:c>
      <x:c r="B56" s="28" t="str">
        <x:f>"BE20001"</x:f>
        <x:v>BE20001</x:v>
      </x:c>
      <x:c r="C56" s="22" t="str">
        <x:v>BUTILBROMETO DE ESCOPOLAMINA 20MG/ML FR 1ML CX/ 100 - FARMACE</x:v>
      </x:c>
      <x:c r="D56" s="22" t="str">
        <x:v>BUTILBROMETO ESCOPOLAMINA</x:v>
      </x:c>
      <x:c r="E56" s="22" t="str">
        <x:v>BUTILBROMETO ESCOPOLAMINA</x:v>
      </x:c>
      <x:c r="F56" s="22" t="str">
        <x:v>20MG/ML | 20MG | 1ML</x:v>
      </x:c>
      <x:c r="G56" s="22" t="str"/>
      <x:c r="H56" s="22" t="str">
        <x:v>FR | CX/100 | CX | CONTEUDO10 | FATOR10</x:v>
      </x:c>
      <x:c r="I56" s="22" t="str">
        <x:v>CAIXA</x:v>
      </x:c>
      <x:c r="J56" s="22" t="str">
        <x:v>FARMACE</x:v>
      </x:c>
      <x:c r="K56" s="28" t="str">
        <x:f>"GTIN: 7898166042032"</x:f>
        <x:v>GTIN: 7898166042032</x:v>
      </x:c>
      <x:c r="L56" s="28" t="str">
        <x:f>"30049069"</x:f>
        <x:v>30049069</x:v>
      </x:c>
      <x:c r="M56" s="22" t="str">
        <x:v>UN</x:v>
      </x:c>
      <x:c r="N56" s="22" t="str">
        <x:v>CX</x:v>
      </x:c>
      <x:c r="O56" s="22" t="n">
        <x:v>10</x:v>
      </x:c>
      <x:c r="P56" s="28" t="str">
        <x:f>"82"</x:f>
        <x:v>82</x:v>
      </x:c>
      <x:c r="Q56" s="28" t="str">
        <x:f>"BE20001"</x:f>
        <x:v>BE20001</x:v>
      </x:c>
    </x:row>
    <x:row r="57">
      <x:c r="A57" s="22" t="n">
        <x:v>53</x:v>
      </x:c>
      <x:c r="B57" s="28" t="str">
        <x:f>"BE40001"</x:f>
        <x:v>BE40001</x:v>
      </x:c>
      <x:c r="C57" s="22" t="str">
        <x:v>BUTILBROMETO DE ESCOPOLAMINA 4MG/ML 5ML CX/50 AP - HYPOFARMA</x:v>
      </x:c>
      <x:c r="D57" s="22" t="str">
        <x:v>BUTILBROMETO ESCOPOLAMINA HYPOFARMA</x:v>
      </x:c>
      <x:c r="E57" s="22" t="str">
        <x:v>BUTILBROMETO ESCOPOLAMINA HYPOFARMA</x:v>
      </x:c>
      <x:c r="F57" s="22" t="str">
        <x:v>4MG/ML | 4MG | 5ML</x:v>
      </x:c>
      <x:c r="G57" s="22" t="str"/>
      <x:c r="H57" s="22" t="str">
        <x:v>CX/50 | AP | UN</x:v>
      </x:c>
      <x:c r="I57" s="22" t="str">
        <x:v>UNIDADE</x:v>
      </x:c>
      <x:c r="J57" s="22" t="str">
        <x:v>HYPORFARMA</x:v>
      </x:c>
      <x:c r="K57" s="28" t="str"/>
      <x:c r="L57" s="28" t="str">
        <x:f>"29397911"</x:f>
        <x:v>29397911</x:v>
      </x:c>
      <x:c r="M57" s="22" t="str">
        <x:v>UN</x:v>
      </x:c>
      <x:c r="N57" s="22" t="str">
        <x:v>UN</x:v>
      </x:c>
      <x:c r="O57" s="22" t="n">
        <x:v>1</x:v>
      </x:c>
      <x:c r="P57" s="28" t="str">
        <x:f>"83"</x:f>
        <x:v>83</x:v>
      </x:c>
      <x:c r="Q57" s="28" t="str">
        <x:f>"BE40001"</x:f>
        <x:v>BE40001</x:v>
      </x:c>
    </x:row>
    <x:row r="58">
      <x:c r="A58" s="22" t="n">
        <x:v>54</x:v>
      </x:c>
      <x:c r="B58" s="28" t="str">
        <x:f>"CBS0001"</x:f>
        <x:v>CBS0001</x:v>
      </x:c>
      <x:c r="C58" s="22" t="str">
        <x:v>CALÇA E BLUSA SMS AZUL C/ELASTICO G N/ESTERIL (PIJAMA) - CX/50 - PION G</x:v>
      </x:c>
      <x:c r="D58" s="22" t="str">
        <x:v>CALCA BLUSA SMS AZUL ELASTICO G N ESTERIL</x:v>
      </x:c>
      <x:c r="E58" s="22" t="str">
        <x:v>CALCA BLUSA SMS</x:v>
      </x:c>
      <x:c r="F58" s="22" t="str"/>
      <x:c r="G58" s="22" t="str"/>
      <x:c r="H58" s="22" t="str">
        <x:v>CX/50 | CX | CONTEUDO50 | FATOR50</x:v>
      </x:c>
      <x:c r="I58" s="22" t="str">
        <x:v>CAIXA</x:v>
      </x:c>
      <x:c r="J58" s="22" t="str">
        <x:v>PION G</x:v>
      </x:c>
      <x:c r="K58" s="28" t="str">
        <x:f>"GTIN: 7909904170921"</x:f>
        <x:v>GTIN: 7909904170921</x:v>
      </x:c>
      <x:c r="L58" s="28" t="str">
        <x:f>"62101000"</x:f>
        <x:v>62101000</x:v>
      </x:c>
      <x:c r="M58" s="22" t="str">
        <x:v>UN</x:v>
      </x:c>
      <x:c r="N58" s="22" t="str">
        <x:v>CX</x:v>
      </x:c>
      <x:c r="O58" s="22" t="n">
        <x:v>50</x:v>
      </x:c>
      <x:c r="P58" s="28" t="str">
        <x:f>"84"</x:f>
        <x:v>84</x:v>
      </x:c>
      <x:c r="Q58" s="28" t="str">
        <x:f>"CBS0001"</x:f>
        <x:v>CBS0001</x:v>
      </x:c>
    </x:row>
    <x:row r="59">
      <x:c r="A59" s="22" t="n">
        <x:v>55</x:v>
      </x:c>
      <x:c r="B59" s="28" t="str">
        <x:f>"CBS0003"</x:f>
        <x:v>CBS0003</x:v>
      </x:c>
      <x:c r="C59" s="22" t="str">
        <x:v>CALÇA E BLUSA SMS AZUL C/ELASTICO M N/ESTERIL (PIJAMA) - CX/50 - PION G</x:v>
      </x:c>
      <x:c r="D59" s="22" t="str">
        <x:v>CALCA BLUSA SMS AZUL ELASTICO M N ESTERIL</x:v>
      </x:c>
      <x:c r="E59" s="22" t="str">
        <x:v>CALCA BLUSA SMS</x:v>
      </x:c>
      <x:c r="F59" s="22" t="str"/>
      <x:c r="G59" s="22" t="str"/>
      <x:c r="H59" s="22" t="str">
        <x:v>CX/50 | CX | CONTEUDO50 | FATOR50</x:v>
      </x:c>
      <x:c r="I59" s="22" t="str">
        <x:v>CAIXA</x:v>
      </x:c>
      <x:c r="J59" s="22" t="str">
        <x:v>PION G</x:v>
      </x:c>
      <x:c r="K59" s="28" t="str">
        <x:f>"GTIN: 7909904170921"</x:f>
        <x:v>GTIN: 7909904170921</x:v>
      </x:c>
      <x:c r="L59" s="28" t="str">
        <x:f>"62101000"</x:f>
        <x:v>62101000</x:v>
      </x:c>
      <x:c r="M59" s="22" t="str">
        <x:v>UN</x:v>
      </x:c>
      <x:c r="N59" s="22" t="str">
        <x:v>CX</x:v>
      </x:c>
      <x:c r="O59" s="22" t="n">
        <x:v>50</x:v>
      </x:c>
      <x:c r="P59" s="28" t="str">
        <x:f>"85"</x:f>
        <x:v>85</x:v>
      </x:c>
      <x:c r="Q59" s="28" t="str">
        <x:f>"CBS0003"</x:f>
        <x:v>CBS0003</x:v>
      </x:c>
    </x:row>
    <x:row r="60">
      <x:c r="A60" s="22" t="n">
        <x:v>56</x:v>
      </x:c>
      <x:c r="B60" s="28" t="str">
        <x:f>"CCE0004"</x:f>
        <x:v>CCE0004</x:v>
      </x:c>
      <x:c r="C60" s="22" t="str">
        <x:v>CAMPO CIRURGICO ESTERIL SMS 0,50X0,50 C/FENESTRA - CX/300 - PION G</x:v>
      </x:c>
      <x:c r="D60" s="22" t="str">
        <x:v>CAMPO CIRURGICO ESTERIL SMS FENESTRA</x:v>
      </x:c>
      <x:c r="E60" s="22" t="str">
        <x:v>CAMPO CIRURGICO ESTERIL</x:v>
      </x:c>
      <x:c r="F60" s="22" t="str"/>
      <x:c r="G60" s="22" t="str">
        <x:v>0,50X0,50</x:v>
      </x:c>
      <x:c r="H60" s="22" t="str">
        <x:v>CX/300 | CX | CONTEUDO300 | FATOR300</x:v>
      </x:c>
      <x:c r="I60" s="22" t="str">
        <x:v>CAIXA</x:v>
      </x:c>
      <x:c r="J60" s="22" t="str">
        <x:v>PION G</x:v>
      </x:c>
      <x:c r="K60" s="28" t="str">
        <x:f>"GTIN: 7898010922992"</x:f>
        <x:v>GTIN: 7898010922992</x:v>
      </x:c>
      <x:c r="L60" s="28" t="str">
        <x:f>"30059090"</x:f>
        <x:v>30059090</x:v>
      </x:c>
      <x:c r="M60" s="22" t="str">
        <x:v>UN</x:v>
      </x:c>
      <x:c r="N60" s="22" t="str">
        <x:v>CX</x:v>
      </x:c>
      <x:c r="O60" s="22" t="n">
        <x:v>300</x:v>
      </x:c>
      <x:c r="P60" s="28" t="str">
        <x:f>"86"</x:f>
        <x:v>86</x:v>
      </x:c>
      <x:c r="Q60" s="28" t="str">
        <x:f>"CCE0004"</x:f>
        <x:v>CCE0004</x:v>
      </x:c>
    </x:row>
    <x:row r="61">
      <x:c r="A61" s="22" t="n">
        <x:v>57</x:v>
      </x:c>
      <x:c r="B61" s="28" t="str">
        <x:f>"CCF0001"</x:f>
        <x:v>CCF0001</x:v>
      </x:c>
      <x:c r="C61" s="22" t="str">
        <x:v>CAMPO CIRURGICO FEN (10CM) 0,60X0,60M - BEST FABRIL</x:v>
      </x:c>
      <x:c r="D61" s="22" t="str">
        <x:v>CAMPO CIRURGICO FEN 60M</x:v>
      </x:c>
      <x:c r="E61" s="22" t="str">
        <x:v>CAMPO CIRURGICO FEN</x:v>
      </x:c>
      <x:c r="F61" s="22" t="str"/>
      <x:c r="G61" s="22" t="str">
        <x:v>0,60X0</x:v>
      </x:c>
      <x:c r="H61" s="22" t="str">
        <x:v>UN</x:v>
      </x:c>
      <x:c r="I61" s="22" t="str">
        <x:v>UNIDADE</x:v>
      </x:c>
      <x:c r="J61" s="22" t="str">
        <x:v>BEST FABRIL</x:v>
      </x:c>
      <x:c r="K61" s="28" t="str">
        <x:f>"GTIN: 7898010922992"</x:f>
        <x:v>GTIN: 7898010922992</x:v>
      </x:c>
      <x:c r="L61" s="28" t="str">
        <x:f>"63079010"</x:f>
        <x:v>63079010</x:v>
      </x:c>
      <x:c r="M61" s="22" t="str">
        <x:v>UN</x:v>
      </x:c>
      <x:c r="N61" s="22" t="str">
        <x:v>UN</x:v>
      </x:c>
      <x:c r="O61" s="22" t="n">
        <x:v>1</x:v>
      </x:c>
      <x:c r="P61" s="28" t="str">
        <x:f>"87"</x:f>
        <x:v>87</x:v>
      </x:c>
      <x:c r="Q61" s="28" t="str">
        <x:f>"CCF0001"</x:f>
        <x:v>CCF0001</x:v>
      </x:c>
    </x:row>
    <x:row r="62">
      <x:c r="A62" s="22" t="n">
        <x:v>58</x:v>
      </x:c>
      <x:c r="B62" s="28" t="str">
        <x:f>"COE0003"</x:f>
        <x:v>COE0003</x:v>
      </x:c>
      <x:c r="C62" s="22" t="str">
        <x:v>CAMPO OPERATÓRIO ESTÉRIL 23X25CM RADIOPACK 8G ANTONELLA PCT/50 - AMED</x:v>
      </x:c>
      <x:c r="D62" s="22" t="str">
        <x:v>CAMPO OPERATORIO ESTERIL RADIOPACK ANTONELLA</x:v>
      </x:c>
      <x:c r="E62" s="22" t="str">
        <x:v>CAMPO OPERATORIO ESTERIL</x:v>
      </x:c>
      <x:c r="F62" s="22" t="str">
        <x:v>8G</x:v>
      </x:c>
      <x:c r="G62" s="22" t="str">
        <x:v>23X25CM | 8G</x:v>
      </x:c>
      <x:c r="H62" s="22" t="str">
        <x:v>PCT/50 | PCT | CONTEUDO50 | FATOR50</x:v>
      </x:c>
      <x:c r="I62" s="22" t="str">
        <x:v>OUTRA</x:v>
      </x:c>
      <x:c r="J62" s="22" t="str">
        <x:v>AMED</x:v>
      </x:c>
      <x:c r="K62" s="28" t="str">
        <x:f>"GTIN: 7891800213348"</x:f>
        <x:v>GTIN: 7891800213348</x:v>
      </x:c>
      <x:c r="L62" s="28" t="str">
        <x:f>"30059090"</x:f>
        <x:v>30059090</x:v>
      </x:c>
      <x:c r="M62" s="22" t="str">
        <x:v>UN</x:v>
      </x:c>
      <x:c r="N62" s="22" t="str">
        <x:v>PCT</x:v>
      </x:c>
      <x:c r="O62" s="22" t="n">
        <x:v>50</x:v>
      </x:c>
      <x:c r="P62" s="28" t="str">
        <x:f>"88"</x:f>
        <x:v>88</x:v>
      </x:c>
      <x:c r="Q62" s="28" t="str">
        <x:f>"COE0003"</x:f>
        <x:v>COE0003</x:v>
      </x:c>
    </x:row>
    <x:row r="63">
      <x:c r="A63" s="22" t="n">
        <x:v>59</x:v>
      </x:c>
      <x:c r="B63" s="28" t="str">
        <x:f>"COE0001"</x:f>
        <x:v>COE0001</x:v>
      </x:c>
      <x:c r="C63" s="22" t="str">
        <x:v>CAMPO OPERATÓRIO ESTÉRIL 25X28CM - PCT/5 - POLAR FIX</x:v>
      </x:c>
      <x:c r="D63" s="22" t="str">
        <x:v>CAMPO OPERATORIO ESTERIL</x:v>
      </x:c>
      <x:c r="E63" s="22" t="str">
        <x:v>CAMPO OPERATORIO ESTERIL</x:v>
      </x:c>
      <x:c r="F63" s="22" t="str"/>
      <x:c r="G63" s="22" t="str">
        <x:v>25X28CM</x:v>
      </x:c>
      <x:c r="H63" s="22" t="str">
        <x:v>PCT/5 | PCT | CONTEUDO5 | FATOR5</x:v>
      </x:c>
      <x:c r="I63" s="22" t="str">
        <x:v>OUTRA</x:v>
      </x:c>
      <x:c r="J63" s="22" t="str">
        <x:v>POLAR FIX</x:v>
      </x:c>
      <x:c r="K63" s="28" t="str">
        <x:f>"GTIN: 7898010921872"</x:f>
        <x:v>GTIN: 7898010921872</x:v>
      </x:c>
      <x:c r="L63" s="28" t="str">
        <x:f>"30059090"</x:f>
        <x:v>30059090</x:v>
      </x:c>
      <x:c r="M63" s="22" t="str">
        <x:v>UN</x:v>
      </x:c>
      <x:c r="N63" s="22" t="str">
        <x:v>PCT</x:v>
      </x:c>
      <x:c r="O63" s="22" t="n">
        <x:v>5</x:v>
      </x:c>
      <x:c r="P63" s="28" t="str">
        <x:f>"89"</x:f>
        <x:v>89</x:v>
      </x:c>
      <x:c r="Q63" s="28" t="str">
        <x:f>"COE0001"</x:f>
        <x:v>COE0001</x:v>
      </x:c>
    </x:row>
    <x:row r="64">
      <x:c r="A64" s="22" t="n">
        <x:v>60</x:v>
      </x:c>
      <x:c r="B64" s="28" t="str">
        <x:f>"COE0002"</x:f>
        <x:v>COE0002</x:v>
      </x:c>
      <x:c r="C64" s="22" t="str">
        <x:v>CAMPO OPERATÓRIO ESTÉRIL 25X28CM RADIOPACK - AMED</x:v>
      </x:c>
      <x:c r="D64" s="22" t="str">
        <x:v>CAMPO OPERATORIO ESTERIL RADIOPACK</x:v>
      </x:c>
      <x:c r="E64" s="22" t="str">
        <x:v>CAMPO OPERATORIO ESTERIL</x:v>
      </x:c>
      <x:c r="F64" s="22" t="str"/>
      <x:c r="G64" s="22" t="str">
        <x:v>25X28CM</x:v>
      </x:c>
      <x:c r="H64" s="22" t="str">
        <x:v>PCT | CONTEUDO5 | FATOR5</x:v>
      </x:c>
      <x:c r="I64" s="22" t="str">
        <x:v>OUTRA</x:v>
      </x:c>
      <x:c r="J64" s="22" t="str">
        <x:v>AMED</x:v>
      </x:c>
      <x:c r="K64" s="28" t="str">
        <x:f>"GTIN: 7898010921872"</x:f>
        <x:v>GTIN: 7898010921872</x:v>
      </x:c>
      <x:c r="L64" s="28" t="str">
        <x:f>"30059090"</x:f>
        <x:v>30059090</x:v>
      </x:c>
      <x:c r="M64" s="22" t="str">
        <x:v>UN</x:v>
      </x:c>
      <x:c r="N64" s="22" t="str">
        <x:v>PCT</x:v>
      </x:c>
      <x:c r="O64" s="22" t="n">
        <x:v>5</x:v>
      </x:c>
      <x:c r="P64" s="28" t="str">
        <x:f>"90"</x:f>
        <x:v>90</x:v>
      </x:c>
      <x:c r="Q64" s="28" t="str">
        <x:f>"COE0002"</x:f>
        <x:v>COE0002</x:v>
      </x:c>
    </x:row>
    <x:row r="65">
      <x:c r="A65" s="22" t="n">
        <x:v>61</x:v>
      </x:c>
      <x:c r="B65" s="28" t="str">
        <x:f>"CGN0001"</x:f>
        <x:v>CGN0001</x:v>
      </x:c>
      <x:c r="C65" s="22" t="str">
        <x:v>CANULA DE GUEDEL N°01 70MM ESTERIL CX/ 50UN- SEVEN</x:v>
      </x:c>
      <x:c r="D65" s="22" t="str">
        <x:v>CANULA GUEDEL N° ESTERIL 50UN</x:v>
      </x:c>
      <x:c r="E65" s="22" t="str">
        <x:v>CANULA GUEDEL N</x:v>
      </x:c>
      <x:c r="F65" s="22" t="str"/>
      <x:c r="G65" s="22" t="str"/>
      <x:c r="H65" s="22" t="str">
        <x:v>CX/ | UN</x:v>
      </x:c>
      <x:c r="I65" s="22" t="str">
        <x:v>UNIDADE</x:v>
      </x:c>
      <x:c r="J65" s="22" t="str">
        <x:v>SEVEN</x:v>
      </x:c>
      <x:c r="K65" s="28" t="str"/>
      <x:c r="L65" s="28" t="str">
        <x:f>"90183929"</x:f>
        <x:v>90183929</x:v>
      </x:c>
      <x:c r="M65" s="22" t="str">
        <x:v>UN</x:v>
      </x:c>
      <x:c r="N65" s="22" t="str">
        <x:v>UN</x:v>
      </x:c>
      <x:c r="O65" s="22" t="n">
        <x:v>1</x:v>
      </x:c>
      <x:c r="P65" s="28" t="str">
        <x:f>"91"</x:f>
        <x:v>91</x:v>
      </x:c>
      <x:c r="Q65" s="28" t="str">
        <x:f>"CGN0001"</x:f>
        <x:v>CGN0001</x:v>
      </x:c>
    </x:row>
    <x:row r="66">
      <x:c r="A66" s="22" t="n">
        <x:v>62</x:v>
      </x:c>
      <x:c r="B66" s="28" t="str">
        <x:f>"CGN0002"</x:f>
        <x:v>CGN0002</x:v>
      </x:c>
      <x:c r="C66" s="22" t="str">
        <x:v>CANULA DE GUEDEL N°02 80MM ESTERIL CX/ 50UN- SEVEN</x:v>
      </x:c>
      <x:c r="D66" s="22" t="str">
        <x:v>CANULA GUEDEL N° ESTERIL 50UN</x:v>
      </x:c>
      <x:c r="E66" s="22" t="str">
        <x:v>CANULA GUEDEL N</x:v>
      </x:c>
      <x:c r="F66" s="22" t="str"/>
      <x:c r="G66" s="22" t="str"/>
      <x:c r="H66" s="22" t="str">
        <x:v>CX/ | UN</x:v>
      </x:c>
      <x:c r="I66" s="22" t="str">
        <x:v>UNIDADE</x:v>
      </x:c>
      <x:c r="J66" s="22" t="str">
        <x:v>SEVEN</x:v>
      </x:c>
      <x:c r="K66" s="28" t="str"/>
      <x:c r="L66" s="28" t="str">
        <x:f>"90183929"</x:f>
        <x:v>90183929</x:v>
      </x:c>
      <x:c r="M66" s="22" t="str">
        <x:v>UN</x:v>
      </x:c>
      <x:c r="N66" s="22" t="str">
        <x:v>UN</x:v>
      </x:c>
      <x:c r="O66" s="22" t="n">
        <x:v>1</x:v>
      </x:c>
      <x:c r="P66" s="28" t="str">
        <x:f>"92"</x:f>
        <x:v>92</x:v>
      </x:c>
      <x:c r="Q66" s="28" t="str">
        <x:f>"CGN0002"</x:f>
        <x:v>CGN0002</x:v>
      </x:c>
    </x:row>
    <x:row r="67">
      <x:c r="A67" s="22" t="n">
        <x:v>63</x:v>
      </x:c>
      <x:c r="B67" s="28" t="str">
        <x:f>"CA20002"</x:f>
        <x:v>CA20002</x:v>
      </x:c>
      <x:c r="C67" s="22" t="str">
        <x:v>CATETER ARTERIAL 20GA 5CM (RADIAL) - ARROW - LOT: 71F22C0184</x:v>
      </x:c>
      <x:c r="D67" s="22" t="str">
        <x:v>CATETER ARTERIAL 20GA LOT 71F22C0184</x:v>
      </x:c>
      <x:c r="E67" s="22" t="str">
        <x:v>CATETER ARTERIAL 20GA</x:v>
      </x:c>
      <x:c r="F67" s="22" t="str"/>
      <x:c r="G67" s="22" t="str"/>
      <x:c r="H67" s="22" t="str">
        <x:v>UN</x:v>
      </x:c>
      <x:c r="I67" s="22" t="str">
        <x:v>UNIDADE</x:v>
      </x:c>
      <x:c r="J67" s="22" t="str">
        <x:v>ARROW</x:v>
      </x:c>
      <x:c r="K67" s="28" t="str">
        <x:f>"GTIN: 4025562450632"</x:f>
        <x:v>GTIN: 4025562450632</x:v>
      </x:c>
      <x:c r="L67" s="28" t="str">
        <x:f>"90183929"</x:f>
        <x:v>90183929</x:v>
      </x:c>
      <x:c r="M67" s="22" t="str">
        <x:v>UN</x:v>
      </x:c>
      <x:c r="N67" s="22" t="str">
        <x:v>UN</x:v>
      </x:c>
      <x:c r="O67" s="22" t="n">
        <x:v>1</x:v>
      </x:c>
      <x:c r="P67" s="28" t="str">
        <x:f>"93"</x:f>
        <x:v>93</x:v>
      </x:c>
      <x:c r="Q67" s="28" t="str">
        <x:f>"CA20002"</x:f>
        <x:v>CA20002</x:v>
      </x:c>
    </x:row>
    <x:row r="68">
      <x:c r="A68" s="22" t="n">
        <x:v>64</x:v>
      </x:c>
      <x:c r="B68" s="28" t="str">
        <x:f>"CA20001"</x:f>
        <x:v>CA20001</x:v>
      </x:c>
      <x:c r="C68" s="22" t="str">
        <x:v>CATETER ARTERIAL 20GA 5CM (RADIAL) - ARROW - LOT: 71F23D0018</x:v>
      </x:c>
      <x:c r="D68" s="22" t="str">
        <x:v>CATETER ARTERIAL 20GA LOT 71F23D0018</x:v>
      </x:c>
      <x:c r="E68" s="22" t="str">
        <x:v>CATETER ARTERIAL 20GA</x:v>
      </x:c>
      <x:c r="F68" s="22" t="str"/>
      <x:c r="G68" s="22" t="str"/>
      <x:c r="H68" s="22" t="str">
        <x:v>UN</x:v>
      </x:c>
      <x:c r="I68" s="22" t="str">
        <x:v>UNIDADE</x:v>
      </x:c>
      <x:c r="J68" s="22" t="str">
        <x:v>ARROW</x:v>
      </x:c>
      <x:c r="K68" s="28" t="str">
        <x:f>"GTIN: 4025562450632"</x:f>
        <x:v>GTIN: 4025562450632</x:v>
      </x:c>
      <x:c r="L68" s="28" t="str">
        <x:f>"90183929"</x:f>
        <x:v>90183929</x:v>
      </x:c>
      <x:c r="M68" s="22" t="str">
        <x:v>UN</x:v>
      </x:c>
      <x:c r="N68" s="22" t="str">
        <x:v>UN</x:v>
      </x:c>
      <x:c r="O68" s="22" t="n">
        <x:v>1</x:v>
      </x:c>
      <x:c r="P68" s="28" t="str">
        <x:f>"94"</x:f>
        <x:v>94</x:v>
      </x:c>
      <x:c r="Q68" s="28" t="str">
        <x:f>"CA20001"</x:f>
        <x:v>CA20001</x:v>
      </x:c>
    </x:row>
    <x:row r="69">
      <x:c r="A69" s="22" t="n">
        <x:v>65</x:v>
      </x:c>
      <x:c r="B69" s="28" t="str">
        <x:f>"CDL0014"</x:f>
        <x:v>CDL0014</x:v>
      </x:c>
      <x:c r="C69" s="22" t="str">
        <x:v>CATETER DUPLO LUMEN 5FRX13CM INFANTIL - MEDIKA IND</x:v>
      </x:c>
      <x:c r="D69" s="22" t="str">
        <x:v>CATETER DUPLO LUMEN 5FRX13CM INFANTIL MEDIKA IND</x:v>
      </x:c>
      <x:c r="E69" s="22" t="str">
        <x:v>CATETER DUPLO LUMEN</x:v>
      </x:c>
      <x:c r="F69" s="22" t="str"/>
      <x:c r="G69" s="22" t="str"/>
      <x:c r="H69" s="22" t="str">
        <x:v>UND</x:v>
      </x:c>
      <x:c r="I69" s="22" t="str">
        <x:v>UNIDADE</x:v>
      </x:c>
      <x:c r="J69" s="22" t="str">
        <x:v>MEDIKATH</x:v>
      </x:c>
      <x:c r="K69" s="28" t="str">
        <x:f>"GTIN: 5901297201444"</x:f>
        <x:v>GTIN: 5901297201444</x:v>
      </x:c>
      <x:c r="L69" s="28" t="str">
        <x:f>"90183921"</x:f>
        <x:v>90183921</x:v>
      </x:c>
      <x:c r="M69" s="22" t="str">
        <x:v>UND</x:v>
      </x:c>
      <x:c r="N69" s="22" t="str">
        <x:v>UND</x:v>
      </x:c>
      <x:c r="O69" s="22" t="n">
        <x:v>1</x:v>
      </x:c>
      <x:c r="P69" s="28" t="str">
        <x:f>"95 | 96"</x:f>
        <x:v>95 | 96</x:v>
      </x:c>
      <x:c r="Q69" s="28" t="str">
        <x:f>"CDL0014 | CDL0015"</x:f>
        <x:v>CDL0014 | CDL0015</x:v>
      </x:c>
    </x:row>
    <x:row r="70">
      <x:c r="A70" s="22" t="n">
        <x:v>66</x:v>
      </x:c>
      <x:c r="B70" s="28" t="str">
        <x:f>"CDL0011"</x:f>
        <x:v>CDL0011</x:v>
      </x:c>
      <x:c r="C70" s="22" t="str">
        <x:v>CATETER DUPLO LUMEN 7FRX20CM - ALIVE HEART</x:v>
      </x:c>
      <x:c r="D70" s="22" t="str">
        <x:v>CATETER DUPLO LUMEN 7FRX20CM</x:v>
      </x:c>
      <x:c r="E70" s="22" t="str">
        <x:v>CATETER DUPLO LUMEN</x:v>
      </x:c>
      <x:c r="F70" s="22" t="str"/>
      <x:c r="G70" s="22" t="str"/>
      <x:c r="H70" s="22" t="str">
        <x:v>UND</x:v>
      </x:c>
      <x:c r="I70" s="22" t="str">
        <x:v>UNIDADE</x:v>
      </x:c>
      <x:c r="J70" s="22" t="str">
        <x:v>ALIVE HEART</x:v>
      </x:c>
      <x:c r="K70" s="28" t="str"/>
      <x:c r="L70" s="28" t="str">
        <x:f>"90183921"</x:f>
        <x:v>90183921</x:v>
      </x:c>
      <x:c r="M70" s="22" t="str">
        <x:v>UND</x:v>
      </x:c>
      <x:c r="N70" s="22" t="str">
        <x:v>UND</x:v>
      </x:c>
      <x:c r="O70" s="22" t="n">
        <x:v>1</x:v>
      </x:c>
      <x:c r="P70" s="28" t="str">
        <x:f>"97"</x:f>
        <x:v>97</x:v>
      </x:c>
      <x:c r="Q70" s="28" t="str">
        <x:f>"CDL0011"</x:f>
        <x:v>CDL0011</x:v>
      </x:c>
    </x:row>
    <x:row r="71">
      <x:c r="A71" s="22" t="n">
        <x:v>67</x:v>
      </x:c>
      <x:c r="B71" s="28" t="str">
        <x:f>"CTL0004"</x:f>
        <x:v>CTL0004</x:v>
      </x:c>
      <x:c r="C71" s="22" t="str">
        <x:v>CATETER DUPLO LUMEN 7FRX20CM - BIOMEDICAL</x:v>
      </x:c>
      <x:c r="D71" s="22" t="str">
        <x:v>CATETER DUPLO LUMEN 7FRX20CM</x:v>
      </x:c>
      <x:c r="E71" s="22" t="str">
        <x:v>CATETER DUPLO LUMEN</x:v>
      </x:c>
      <x:c r="F71" s="22" t="str"/>
      <x:c r="G71" s="22" t="str"/>
      <x:c r="H71" s="22" t="str">
        <x:v>UND</x:v>
      </x:c>
      <x:c r="I71" s="22" t="str">
        <x:v>UNIDADE</x:v>
      </x:c>
      <x:c r="J71" s="22" t="str">
        <x:v>BIOMEDICAL</x:v>
      </x:c>
      <x:c r="K71" s="28" t="str"/>
      <x:c r="L71" s="28" t="str">
        <x:f>"90183929"</x:f>
        <x:v>90183929</x:v>
      </x:c>
      <x:c r="M71" s="22" t="str">
        <x:v>UND</x:v>
      </x:c>
      <x:c r="N71" s="22" t="str">
        <x:v>UND</x:v>
      </x:c>
      <x:c r="O71" s="22" t="n">
        <x:v>1</x:v>
      </x:c>
      <x:c r="P71" s="28" t="str">
        <x:f>"98"</x:f>
        <x:v>98</x:v>
      </x:c>
      <x:c r="Q71" s="28" t="str">
        <x:f>"CTL0004"</x:f>
        <x:v>CTL0004</x:v>
      </x:c>
    </x:row>
    <x:row r="72">
      <x:c r="A72" s="22" t="n">
        <x:v>68</x:v>
      </x:c>
      <x:c r="B72" s="28" t="str">
        <x:f>"CDL0003"</x:f>
        <x:v>CDL0003</x:v>
      </x:c>
      <x:c r="C72" s="22" t="str">
        <x:v>CATETER DUPLO LUMEN 7FRX20CM - MEDIKA IND</x:v>
      </x:c>
      <x:c r="D72" s="22" t="str">
        <x:v>CATETER DUPLO LUMEN 7FRX20CM MEDIKA IND</x:v>
      </x:c>
      <x:c r="E72" s="22" t="str">
        <x:v>CATETER DUPLO LUMEN</x:v>
      </x:c>
      <x:c r="F72" s="22" t="str"/>
      <x:c r="G72" s="22" t="str"/>
      <x:c r="H72" s="22" t="str">
        <x:v>UND</x:v>
      </x:c>
      <x:c r="I72" s="22" t="str">
        <x:v>UNIDADE</x:v>
      </x:c>
      <x:c r="J72" s="22" t="str">
        <x:v>MEDIKATH</x:v>
      </x:c>
      <x:c r="K72" s="28" t="str">
        <x:f>"GTIN: 5901297201444"</x:f>
        <x:v>GTIN: 5901297201444</x:v>
      </x:c>
      <x:c r="L72" s="28" t="str">
        <x:f>"90183921"</x:f>
        <x:v>90183921</x:v>
      </x:c>
      <x:c r="M72" s="22" t="str">
        <x:v>UND</x:v>
      </x:c>
      <x:c r="N72" s="22" t="str">
        <x:v>UND</x:v>
      </x:c>
      <x:c r="O72" s="22" t="n">
        <x:v>1</x:v>
      </x:c>
      <x:c r="P72" s="28" t="str">
        <x:f>"99 | 100 | 101 | 102 | 103"</x:f>
        <x:v>99 | 100 | 101 | 102 | 103</x:v>
      </x:c>
      <x:c r="Q72" s="28" t="str">
        <x:f>"CDL0001 | CDL0003 | CDL0004 | CDL0019 | CDL0002"</x:f>
        <x:v>CDL0001 | CDL0003 | CDL0004 | CDL0019 | CDL0002</x:v>
      </x:c>
    </x:row>
    <x:row r="73">
      <x:c r="A73" s="22" t="n">
        <x:v>69</x:v>
      </x:c>
      <x:c r="B73" s="28" t="str">
        <x:f>"CDL0020"</x:f>
        <x:v>CDL0020</x:v>
      </x:c>
      <x:c r="C73" s="22" t="str">
        <x:v>CATETER DUPLO LUMEN 7FRX20CM - SAFECATH</x:v>
      </x:c>
      <x:c r="D73" s="22" t="str">
        <x:v>CATETER DUPLO LUMEN 7FRX20CM</x:v>
      </x:c>
      <x:c r="E73" s="22" t="str">
        <x:v>CATETER DUPLO LUMEN</x:v>
      </x:c>
      <x:c r="F73" s="22" t="str"/>
      <x:c r="G73" s="22" t="str"/>
      <x:c r="H73" s="22" t="str">
        <x:v>UND</x:v>
      </x:c>
      <x:c r="I73" s="22" t="str">
        <x:v>UNIDADE</x:v>
      </x:c>
      <x:c r="J73" s="22" t="str">
        <x:v>SAFECATH</x:v>
      </x:c>
      <x:c r="K73" s="28" t="str"/>
      <x:c r="L73" s="28" t="str">
        <x:f>"90183929"</x:f>
        <x:v>90183929</x:v>
      </x:c>
      <x:c r="M73" s="22" t="str">
        <x:v>UND</x:v>
      </x:c>
      <x:c r="N73" s="22" t="str">
        <x:v>UND</x:v>
      </x:c>
      <x:c r="O73" s="22" t="n">
        <x:v>1</x:v>
      </x:c>
      <x:c r="P73" s="28" t="str">
        <x:f>"104"</x:f>
        <x:v>104</x:v>
      </x:c>
      <x:c r="Q73" s="28" t="str">
        <x:f>"CDL0020"</x:f>
        <x:v>CDL0020</x:v>
      </x:c>
    </x:row>
    <x:row r="74">
      <x:c r="A74" s="22" t="n">
        <x:v>70</x:v>
      </x:c>
      <x:c r="B74" s="28" t="str">
        <x:f>"CP10001"</x:f>
        <x:v>CP10001</x:v>
      </x:c>
      <x:c r="C74" s="22" t="str">
        <x:v>CATETER JELCO 14G - CX/100 - DESCARPACK</x:v>
      </x:c>
      <x:c r="D74" s="22" t="str">
        <x:v>CATETER JELCO</x:v>
      </x:c>
      <x:c r="E74" s="22" t="str">
        <x:v>CATETER JELCO</x:v>
      </x:c>
      <x:c r="F74" s="22" t="str">
        <x:v>14G</x:v>
      </x:c>
      <x:c r="G74" s="22" t="str">
        <x:v>14G</x:v>
      </x:c>
      <x:c r="H74" s="22" t="str">
        <x:v>CX/100 | CX | CONTEUDO100 | FATOR100</x:v>
      </x:c>
      <x:c r="I74" s="22" t="str">
        <x:v>CAIXA</x:v>
      </x:c>
      <x:c r="J74" s="22" t="str">
        <x:v>DESCARPACK</x:v>
      </x:c>
      <x:c r="K74" s="28" t="str">
        <x:f>"GTIN: 7898283816837"</x:f>
        <x:v>GTIN: 7898283816837</x:v>
      </x:c>
      <x:c r="L74" s="28" t="str">
        <x:f>"90183921"</x:f>
        <x:v>90183921</x:v>
      </x:c>
      <x:c r="M74" s="22" t="str">
        <x:v>UN</x:v>
      </x:c>
      <x:c r="N74" s="22" t="str">
        <x:v>CX</x:v>
      </x:c>
      <x:c r="O74" s="22" t="n">
        <x:v>100</x:v>
      </x:c>
      <x:c r="P74" s="28" t="str">
        <x:f>"105"</x:f>
        <x:v>105</x:v>
      </x:c>
      <x:c r="Q74" s="28" t="str">
        <x:f>"CP10001"</x:f>
        <x:v>CP10001</x:v>
      </x:c>
    </x:row>
    <x:row r="75">
      <x:c r="A75" s="22" t="n">
        <x:v>71</x:v>
      </x:c>
      <x:c r="B75" s="28" t="str">
        <x:f>"ED20002"</x:f>
        <x:v>ED20002</x:v>
      </x:c>
      <x:c r="C75" s="22" t="str">
        <x:v>CATETER JELCO 16G - CX/100 - DESCARPACK</x:v>
      </x:c>
      <x:c r="D75" s="22" t="str">
        <x:v>CATETER JELCO</x:v>
      </x:c>
      <x:c r="E75" s="22" t="str">
        <x:v>CATETER JELCO</x:v>
      </x:c>
      <x:c r="F75" s="22" t="str">
        <x:v>16G</x:v>
      </x:c>
      <x:c r="G75" s="22" t="str">
        <x:v>16G</x:v>
      </x:c>
      <x:c r="H75" s="22" t="str">
        <x:v>CX/100 | CX | CONTEUDO100 | FATOR100</x:v>
      </x:c>
      <x:c r="I75" s="22" t="str">
        <x:v>CAIXA</x:v>
      </x:c>
      <x:c r="J75" s="22" t="str">
        <x:v>DESCARPACK</x:v>
      </x:c>
      <x:c r="K75" s="28" t="str">
        <x:f>"GTIN: 7898283816844"</x:f>
        <x:v>GTIN: 7898283816844</x:v>
      </x:c>
      <x:c r="L75" s="28" t="str">
        <x:f>"90183921"</x:f>
        <x:v>90183921</x:v>
      </x:c>
      <x:c r="M75" s="22" t="str">
        <x:v>UN</x:v>
      </x:c>
      <x:c r="N75" s="22" t="str">
        <x:v>CX</x:v>
      </x:c>
      <x:c r="O75" s="22" t="n">
        <x:v>100</x:v>
      </x:c>
      <x:c r="P75" s="28" t="str">
        <x:f>"106"</x:f>
        <x:v>106</x:v>
      </x:c>
      <x:c r="Q75" s="28" t="str">
        <x:f>"ED20002"</x:f>
        <x:v>ED20002</x:v>
      </x:c>
    </x:row>
    <x:row r="76">
      <x:c r="A76" s="22" t="n">
        <x:v>72</x:v>
      </x:c>
      <x:c r="B76" s="28" t="str">
        <x:f>"CJ10001"</x:f>
        <x:v>CJ10001</x:v>
      </x:c>
      <x:c r="C76" s="22" t="str">
        <x:v>CATETER JELCO 16G - CX/100 - SEVEN CARE</x:v>
      </x:c>
      <x:c r="D76" s="22" t="str">
        <x:v>CATETER JELCO</x:v>
      </x:c>
      <x:c r="E76" s="22" t="str">
        <x:v>CATETER JELCO</x:v>
      </x:c>
      <x:c r="F76" s="22" t="str">
        <x:v>16G</x:v>
      </x:c>
      <x:c r="G76" s="22" t="str">
        <x:v>16G</x:v>
      </x:c>
      <x:c r="H76" s="22" t="str">
        <x:v>CX/100 | CX | CONTEUDO100 | FATOR100</x:v>
      </x:c>
      <x:c r="I76" s="22" t="str">
        <x:v>CAIXA</x:v>
      </x:c>
      <x:c r="J76" s="22" t="str">
        <x:v>SEVEN CARE</x:v>
      </x:c>
      <x:c r="K76" s="28" t="str">
        <x:f>"GTIN: 7898283816844"</x:f>
        <x:v>GTIN: 7898283816844</x:v>
      </x:c>
      <x:c r="L76" s="28" t="str">
        <x:f>"90183921"</x:f>
        <x:v>90183921</x:v>
      </x:c>
      <x:c r="M76" s="22" t="str">
        <x:v>UN</x:v>
      </x:c>
      <x:c r="N76" s="22" t="str">
        <x:v>CX</x:v>
      </x:c>
      <x:c r="O76" s="22" t="n">
        <x:v>100</x:v>
      </x:c>
      <x:c r="P76" s="28" t="str">
        <x:f>"107"</x:f>
        <x:v>107</x:v>
      </x:c>
      <x:c r="Q76" s="28" t="str">
        <x:f>"CJ10001"</x:f>
        <x:v>CJ10001</x:v>
      </x:c>
    </x:row>
    <x:row r="77">
      <x:c r="A77" s="22" t="n">
        <x:v>73</x:v>
      </x:c>
      <x:c r="B77" s="28" t="str">
        <x:f>"CJ10003"</x:f>
        <x:v>CJ10003</x:v>
      </x:c>
      <x:c r="C77" s="22" t="str">
        <x:v>CATETER JELCO 18G - CX/100 - SEVEN CARE</x:v>
      </x:c>
      <x:c r="D77" s="22" t="str">
        <x:v>CATETER JELCO</x:v>
      </x:c>
      <x:c r="E77" s="22" t="str">
        <x:v>CATETER JELCO</x:v>
      </x:c>
      <x:c r="F77" s="22" t="str">
        <x:v>18G</x:v>
      </x:c>
      <x:c r="G77" s="22" t="str">
        <x:v>18G</x:v>
      </x:c>
      <x:c r="H77" s="22" t="str">
        <x:v>CX/100 | CX | CONTEUDO100 | FATOR100</x:v>
      </x:c>
      <x:c r="I77" s="22" t="str">
        <x:v>CAIXA</x:v>
      </x:c>
      <x:c r="J77" s="22" t="str">
        <x:v>SEVEN CARE</x:v>
      </x:c>
      <x:c r="K77" s="28" t="str">
        <x:f>"GTIN: 7898283816837"</x:f>
        <x:v>GTIN: 7898283816837</x:v>
      </x:c>
      <x:c r="L77" s="28" t="str">
        <x:f>"90183921"</x:f>
        <x:v>90183921</x:v>
      </x:c>
      <x:c r="M77" s="22" t="str">
        <x:v>UN</x:v>
      </x:c>
      <x:c r="N77" s="22" t="str">
        <x:v>CX</x:v>
      </x:c>
      <x:c r="O77" s="22" t="n">
        <x:v>100</x:v>
      </x:c>
      <x:c r="P77" s="28" t="str">
        <x:f>"108"</x:f>
        <x:v>108</x:v>
      </x:c>
      <x:c r="Q77" s="28" t="str">
        <x:f>"CJ10003"</x:f>
        <x:v>CJ10003</x:v>
      </x:c>
    </x:row>
    <x:row r="78">
      <x:c r="A78" s="22" t="n">
        <x:v>74</x:v>
      </x:c>
      <x:c r="B78" s="28" t="str">
        <x:f>"CJ20002"</x:f>
        <x:v>CJ20002</x:v>
      </x:c>
      <x:c r="C78" s="22" t="str">
        <x:v>CATETER JELCO 20G - DESCARPACK</x:v>
      </x:c>
      <x:c r="D78" s="22" t="str">
        <x:v>CATETER JELCO</x:v>
      </x:c>
      <x:c r="E78" s="22" t="str">
        <x:v>CATETER JELCO</x:v>
      </x:c>
      <x:c r="F78" s="22" t="str">
        <x:v>20G</x:v>
      </x:c>
      <x:c r="G78" s="22" t="str">
        <x:v>20G</x:v>
      </x:c>
      <x:c r="H78" s="22" t="str">
        <x:v>CX | CONTEUDO100 | FATOR100</x:v>
      </x:c>
      <x:c r="I78" s="22" t="str">
        <x:v>CAIXA</x:v>
      </x:c>
      <x:c r="J78" s="22" t="str">
        <x:v>DESCARPACK</x:v>
      </x:c>
      <x:c r="K78" s="28" t="str">
        <x:f>"GTIN: 7898283816844"</x:f>
        <x:v>GTIN: 7898283816844</x:v>
      </x:c>
      <x:c r="L78" s="28" t="str">
        <x:f>"90183921"</x:f>
        <x:v>90183921</x:v>
      </x:c>
      <x:c r="M78" s="22" t="str">
        <x:v>UN</x:v>
      </x:c>
      <x:c r="N78" s="22" t="str">
        <x:v>CX</x:v>
      </x:c>
      <x:c r="O78" s="22" t="n">
        <x:v>100</x:v>
      </x:c>
      <x:c r="P78" s="28" t="str">
        <x:f>"109"</x:f>
        <x:v>109</x:v>
      </x:c>
      <x:c r="Q78" s="28" t="str">
        <x:f>"CJ20002"</x:f>
        <x:v>CJ20002</x:v>
      </x:c>
    </x:row>
    <x:row r="79">
      <x:c r="A79" s="22" t="n">
        <x:v>75</x:v>
      </x:c>
      <x:c r="B79" s="28" t="str">
        <x:f>"CJ20001"</x:f>
        <x:v>CJ20001</x:v>
      </x:c>
      <x:c r="C79" s="22" t="str">
        <x:v>CATETER JELCO 20G - POLYMED</x:v>
      </x:c>
      <x:c r="D79" s="22" t="str">
        <x:v>CATETER JELCO</x:v>
      </x:c>
      <x:c r="E79" s="22" t="str">
        <x:v>CATETER JELCO</x:v>
      </x:c>
      <x:c r="F79" s="22" t="str">
        <x:v>20G</x:v>
      </x:c>
      <x:c r="G79" s="22" t="str">
        <x:v>20G</x:v>
      </x:c>
      <x:c r="H79" s="22" t="str">
        <x:v>CX | CONTEUDO100 | FATOR100</x:v>
      </x:c>
      <x:c r="I79" s="22" t="str">
        <x:v>CAIXA</x:v>
      </x:c>
      <x:c r="J79" s="22" t="str">
        <x:v>POLYMED</x:v>
      </x:c>
      <x:c r="K79" s="28" t="str">
        <x:f>"GTIN: 7898283816844"</x:f>
        <x:v>GTIN: 7898283816844</x:v>
      </x:c>
      <x:c r="L79" s="28" t="str">
        <x:f>"90183921"</x:f>
        <x:v>90183921</x:v>
      </x:c>
      <x:c r="M79" s="22" t="str">
        <x:v>UN</x:v>
      </x:c>
      <x:c r="N79" s="22" t="str">
        <x:v>CX</x:v>
      </x:c>
      <x:c r="O79" s="22" t="n">
        <x:v>100</x:v>
      </x:c>
      <x:c r="P79" s="28" t="str">
        <x:f>"110"</x:f>
        <x:v>110</x:v>
      </x:c>
      <x:c r="Q79" s="28" t="str">
        <x:f>"CJ20001"</x:f>
        <x:v>CJ20001</x:v>
      </x:c>
    </x:row>
    <x:row r="80">
      <x:c r="A80" s="22" t="n">
        <x:v>76</x:v>
      </x:c>
      <x:c r="B80" s="28" t="str">
        <x:f>"CJ10002"</x:f>
        <x:v>CJ10002</x:v>
      </x:c>
      <x:c r="C80" s="22" t="str">
        <x:v>CATETER JELCO 22G - CX/100 - DESCARPACK</x:v>
      </x:c>
      <x:c r="D80" s="22" t="str">
        <x:v>CATETER JELCO</x:v>
      </x:c>
      <x:c r="E80" s="22" t="str">
        <x:v>CATETER JELCO</x:v>
      </x:c>
      <x:c r="F80" s="22" t="str">
        <x:v>22G</x:v>
      </x:c>
      <x:c r="G80" s="22" t="str">
        <x:v>22G</x:v>
      </x:c>
      <x:c r="H80" s="22" t="str">
        <x:v>CX/100 | CX | CONTEUDO100 | FATOR100</x:v>
      </x:c>
      <x:c r="I80" s="22" t="str">
        <x:v>CAIXA</x:v>
      </x:c>
      <x:c r="J80" s="22" t="str">
        <x:v>DESCARPACK</x:v>
      </x:c>
      <x:c r="K80" s="28" t="str">
        <x:f>"GTIN: 7898283816844"</x:f>
        <x:v>GTIN: 7898283816844</x:v>
      </x:c>
      <x:c r="L80" s="28" t="str">
        <x:f>"90183921"</x:f>
        <x:v>90183921</x:v>
      </x:c>
      <x:c r="M80" s="22" t="str">
        <x:v>UN</x:v>
      </x:c>
      <x:c r="N80" s="22" t="str">
        <x:v>CX</x:v>
      </x:c>
      <x:c r="O80" s="22" t="n">
        <x:v>100</x:v>
      </x:c>
      <x:c r="P80" s="28" t="str">
        <x:f>"111"</x:f>
        <x:v>111</x:v>
      </x:c>
      <x:c r="Q80" s="28" t="str">
        <x:f>"CJ10002"</x:f>
        <x:v>CJ10002</x:v>
      </x:c>
    </x:row>
    <x:row r="81">
      <x:c r="A81" s="22" t="n">
        <x:v>77</x:v>
      </x:c>
      <x:c r="B81" s="28" t="str">
        <x:f>"CJ20003"</x:f>
        <x:v>CJ20003</x:v>
      </x:c>
      <x:c r="C81" s="22" t="str">
        <x:v>CATETER JELCO 24G - CX/100 - DESCARPACK</x:v>
      </x:c>
      <x:c r="D81" s="22" t="str">
        <x:v>CATETER JELCO</x:v>
      </x:c>
      <x:c r="E81" s="22" t="str">
        <x:v>CATETER JELCO</x:v>
      </x:c>
      <x:c r="F81" s="22" t="str">
        <x:v>24G</x:v>
      </x:c>
      <x:c r="G81" s="22" t="str">
        <x:v>24G</x:v>
      </x:c>
      <x:c r="H81" s="22" t="str">
        <x:v>CX/100 | CX | CONTEUDO100 | FATOR100</x:v>
      </x:c>
      <x:c r="I81" s="22" t="str">
        <x:v>CAIXA</x:v>
      </x:c>
      <x:c r="J81" s="22" t="str">
        <x:v>DESCARPACK</x:v>
      </x:c>
      <x:c r="K81" s="28" t="str">
        <x:f>"GTIN: 7898283816844"</x:f>
        <x:v>GTIN: 7898283816844</x:v>
      </x:c>
      <x:c r="L81" s="28" t="str">
        <x:f>"90183921"</x:f>
        <x:v>90183921</x:v>
      </x:c>
      <x:c r="M81" s="22" t="str">
        <x:v>UN</x:v>
      </x:c>
      <x:c r="N81" s="22" t="str">
        <x:v>CX</x:v>
      </x:c>
      <x:c r="O81" s="22" t="n">
        <x:v>100</x:v>
      </x:c>
      <x:c r="P81" s="28" t="str">
        <x:f>"112"</x:f>
        <x:v>112</x:v>
      </x:c>
      <x:c r="Q81" s="28" t="str">
        <x:f>"CJ20003"</x:f>
        <x:v>CJ20003</x:v>
      </x:c>
    </x:row>
    <x:row r="82">
      <x:c r="A82" s="22" t="n">
        <x:v>78</x:v>
      </x:c>
      <x:c r="B82" s="28" t="str">
        <x:f>"CPP0003"</x:f>
        <x:v>CPP0003</x:v>
      </x:c>
      <x:c r="C82" s="22" t="str">
        <x:v>CATÉTER P/ PUNÇÃO ARTERIAL 3FX8CM EM PEBAX MICROSELD (RADIAL) - INTRA GMBH</x:v>
      </x:c>
      <x:c r="D82" s="22" t="str">
        <x:v>CATETER PUNCAO ARTERIAL 3FX8CM EM PEBAX MICROSELD</x:v>
      </x:c>
      <x:c r="E82" s="22" t="str">
        <x:v>CATETER PUNCAO ARTERIAL</x:v>
      </x:c>
      <x:c r="F82" s="22" t="str"/>
      <x:c r="G82" s="22" t="str"/>
      <x:c r="H82" s="22" t="str">
        <x:v>UN</x:v>
      </x:c>
      <x:c r="I82" s="22" t="str">
        <x:v>UNIDADE</x:v>
      </x:c>
      <x:c r="J82" s="22" t="str">
        <x:v>INTRA GMBH</x:v>
      </x:c>
      <x:c r="K82" s="28" t="str"/>
      <x:c r="L82" s="28" t="str">
        <x:f>"90183929"</x:f>
        <x:v>90183929</x:v>
      </x:c>
      <x:c r="M82" s="22" t="str">
        <x:v>UN</x:v>
      </x:c>
      <x:c r="N82" s="22" t="str">
        <x:v>UN</x:v>
      </x:c>
      <x:c r="O82" s="22" t="n">
        <x:v>1</x:v>
      </x:c>
      <x:c r="P82" s="28" t="str">
        <x:f>"113"</x:f>
        <x:v>113</x:v>
      </x:c>
      <x:c r="Q82" s="28" t="str">
        <x:f>"CPP0003"</x:f>
        <x:v>CPP0003</x:v>
      </x:c>
    </x:row>
    <x:row r="83">
      <x:c r="A83" s="22" t="n">
        <x:v>79</x:v>
      </x:c>
      <x:c r="B83" s="28" t="str">
        <x:f>"CPP0002"</x:f>
        <x:v>CPP0002</x:v>
      </x:c>
      <x:c r="C83" s="22" t="str">
        <x:v>CATÉTER P/ PUNÇÃO ARTERIAL 4FX11CM 18G EM PEBAX MICROSELD (FEMURAL) - INTRA GMBH</x:v>
      </x:c>
      <x:c r="D83" s="22" t="str">
        <x:v>CATETER PUNCAO ARTERIAL 4FX11CM EM PEBAX MICROSELD</x:v>
      </x:c>
      <x:c r="E83" s="22" t="str">
        <x:v>CATETER PUNCAO ARTERIAL</x:v>
      </x:c>
      <x:c r="F83" s="22" t="str">
        <x:v>18G</x:v>
      </x:c>
      <x:c r="G83" s="22" t="str">
        <x:v>18G</x:v>
      </x:c>
      <x:c r="H83" s="22" t="str">
        <x:v>UN</x:v>
      </x:c>
      <x:c r="I83" s="22" t="str">
        <x:v>UNIDADE</x:v>
      </x:c>
      <x:c r="J83" s="22" t="str">
        <x:v>INTRA GMBH</x:v>
      </x:c>
      <x:c r="K83" s="28" t="str">
        <x:f>"GTIN: 4025562450632"</x:f>
        <x:v>GTIN: 4025562450632</x:v>
      </x:c>
      <x:c r="L83" s="28" t="str">
        <x:f>"90183929"</x:f>
        <x:v>90183929</x:v>
      </x:c>
      <x:c r="M83" s="22" t="str">
        <x:v>UN</x:v>
      </x:c>
      <x:c r="N83" s="22" t="str">
        <x:v>UN</x:v>
      </x:c>
      <x:c r="O83" s="22" t="n">
        <x:v>1</x:v>
      </x:c>
      <x:c r="P83" s="28" t="str">
        <x:f>"114 | 115"</x:f>
        <x:v>114 | 115</x:v>
      </x:c>
      <x:c r="Q83" s="28" t="str">
        <x:f>"CPP0002 | CPP0001"</x:f>
        <x:v>CPP0002 | CPP0001</x:v>
      </x:c>
    </x:row>
    <x:row r="84">
      <x:c r="A84" s="22" t="n">
        <x:v>80</x:v>
      </x:c>
      <x:c r="B84" s="28" t="str">
        <x:f>"C(20009"</x:f>
        <x:v>C(20009</x:v>
      </x:c>
      <x:c r="C84" s="22" t="str">
        <x:v>CATETER PAM RADIAL 20GX80MM - B BRAUN</x:v>
      </x:c>
      <x:c r="D84" s="22" t="str">
        <x:v>CATETER PAM RADIAL B BRAUN</x:v>
      </x:c>
      <x:c r="E84" s="22" t="str">
        <x:v>CATETER PAM RADIAL</x:v>
      </x:c>
      <x:c r="F84" s="22" t="str"/>
      <x:c r="G84" s="22" t="str">
        <x:v>20GX80MM</x:v>
      </x:c>
      <x:c r="H84" s="22" t="str">
        <x:v>UND</x:v>
      </x:c>
      <x:c r="I84" s="22" t="str">
        <x:v>UNIDADE</x:v>
      </x:c>
      <x:c r="J84" s="22" t="str">
        <x:v>BBRAUN</x:v>
      </x:c>
      <x:c r="K84" s="28" t="str">
        <x:f>"GTIN: 8902120303554"</x:f>
        <x:v>GTIN: 8902120303554</x:v>
      </x:c>
      <x:c r="L84" s="28" t="str">
        <x:f>"90183922"</x:f>
        <x:v>90183922</x:v>
      </x:c>
      <x:c r="M84" s="22" t="str">
        <x:v>UND</x:v>
      </x:c>
      <x:c r="N84" s="22" t="str">
        <x:v>UND</x:v>
      </x:c>
      <x:c r="O84" s="22" t="n">
        <x:v>1</x:v>
      </x:c>
      <x:c r="P84" s="28" t="str">
        <x:f>"116"</x:f>
        <x:v>116</x:v>
      </x:c>
      <x:c r="Q84" s="28" t="str">
        <x:f>"C(20009"</x:f>
        <x:v>C(20009</x:v>
      </x:c>
    </x:row>
    <x:row r="85">
      <x:c r="A85" s="22" t="n">
        <x:v>81</x:v>
      </x:c>
      <x:c r="B85" s="28" t="str">
        <x:f>"CTL0010"</x:f>
        <x:v>CTL0010</x:v>
      </x:c>
      <x:c r="C85" s="22" t="str">
        <x:v>CATETER TRIPLO LUMEN 7FRX20CM - ALIVE HEART</x:v>
      </x:c>
      <x:c r="D85" s="22" t="str">
        <x:v>CATETER TRIPLO LUMEN 7FRX20CM</x:v>
      </x:c>
      <x:c r="E85" s="22" t="str">
        <x:v>CATETER TRIPLO LUMEN</x:v>
      </x:c>
      <x:c r="F85" s="22" t="str"/>
      <x:c r="G85" s="22" t="str"/>
      <x:c r="H85" s="22" t="str">
        <x:v>UND</x:v>
      </x:c>
      <x:c r="I85" s="22" t="str">
        <x:v>UNIDADE</x:v>
      </x:c>
      <x:c r="J85" s="22" t="str">
        <x:v>ALIVE HEART</x:v>
      </x:c>
      <x:c r="K85" s="28" t="str">
        <x:f>"GTIN: 7898230230239"</x:f>
        <x:v>GTIN: 7898230230239</x:v>
      </x:c>
      <x:c r="L85" s="28" t="str">
        <x:f>"90183921"</x:f>
        <x:v>90183921</x:v>
      </x:c>
      <x:c r="M85" s="22" t="str">
        <x:v>UND</x:v>
      </x:c>
      <x:c r="N85" s="22" t="str">
        <x:v>UND</x:v>
      </x:c>
      <x:c r="O85" s="22" t="n">
        <x:v>1</x:v>
      </x:c>
      <x:c r="P85" s="28" t="str">
        <x:f>"123 | 124"</x:f>
        <x:v>123 | 124</x:v>
      </x:c>
      <x:c r="Q85" s="28" t="str">
        <x:f>"CTL0010 | CTL0002"</x:f>
        <x:v>CTL0010 | CTL0002</x:v>
      </x:c>
    </x:row>
    <x:row r="86">
      <x:c r="A86" s="22" t="n">
        <x:v>82</x:v>
      </x:c>
      <x:c r="B86" s="28" t="str">
        <x:f>"CTL0007"</x:f>
        <x:v>CTL0007</x:v>
      </x:c>
      <x:c r="C86" s="22" t="str">
        <x:v>CATETER TRIPLO LUMEN 7FRX20CM - ARROW</x:v>
      </x:c>
      <x:c r="D86" s="22" t="str">
        <x:v>CATETER TRIPLO LUMEN 7FRX20CM</x:v>
      </x:c>
      <x:c r="E86" s="22" t="str">
        <x:v>CATETER TRIPLO LUMEN</x:v>
      </x:c>
      <x:c r="F86" s="22" t="str"/>
      <x:c r="G86" s="22" t="str"/>
      <x:c r="H86" s="22" t="str">
        <x:v>UND</x:v>
      </x:c>
      <x:c r="I86" s="22" t="str">
        <x:v>UNIDADE</x:v>
      </x:c>
      <x:c r="J86" s="22" t="str">
        <x:v>ARROW</x:v>
      </x:c>
      <x:c r="K86" s="28" t="str">
        <x:f>"GTIN: 7898230230239"</x:f>
        <x:v>GTIN: 7898230230239</x:v>
      </x:c>
      <x:c r="L86" s="28" t="str">
        <x:f>"90183929"</x:f>
        <x:v>90183929</x:v>
      </x:c>
      <x:c r="M86" s="22" t="str">
        <x:v>UND</x:v>
      </x:c>
      <x:c r="N86" s="22" t="str">
        <x:v>UND</x:v>
      </x:c>
      <x:c r="O86" s="22" t="n">
        <x:v>1</x:v>
      </x:c>
      <x:c r="P86" s="28" t="str">
        <x:f>"125"</x:f>
        <x:v>125</x:v>
      </x:c>
      <x:c r="Q86" s="28" t="str">
        <x:f>"CTL0007"</x:f>
        <x:v>CTL0007</x:v>
      </x:c>
    </x:row>
    <x:row r="87">
      <x:c r="A87" s="22" t="n">
        <x:v>83</x:v>
      </x:c>
      <x:c r="B87" s="28" t="str">
        <x:f>"CTL0009"</x:f>
        <x:v>CTL0009</x:v>
      </x:c>
      <x:c r="C87" s="22" t="str">
        <x:v>CATETER TRIPLO LUMEN 7FRX20CM - B BRAUN</x:v>
      </x:c>
      <x:c r="D87" s="22" t="str">
        <x:v>CATETER TRIPLO LUMEN 7FRX20CM</x:v>
      </x:c>
      <x:c r="E87" s="22" t="str">
        <x:v>CATETER TRIPLO LUMEN</x:v>
      </x:c>
      <x:c r="F87" s="22" t="str"/>
      <x:c r="G87" s="22" t="str"/>
      <x:c r="H87" s="22" t="str">
        <x:v>UND</x:v>
      </x:c>
      <x:c r="I87" s="22" t="str">
        <x:v>UNIDADE</x:v>
      </x:c>
      <x:c r="J87" s="22" t="str">
        <x:v>B BRAUN</x:v>
      </x:c>
      <x:c r="K87" s="28" t="str">
        <x:f>"GTIN: 7898230230239"</x:f>
        <x:v>GTIN: 7898230230239</x:v>
      </x:c>
      <x:c r="L87" s="28" t="str">
        <x:f>"90183929"</x:f>
        <x:v>90183929</x:v>
      </x:c>
      <x:c r="M87" s="22" t="str">
        <x:v>UND</x:v>
      </x:c>
      <x:c r="N87" s="22" t="str">
        <x:v>UND</x:v>
      </x:c>
      <x:c r="O87" s="22" t="n">
        <x:v>1</x:v>
      </x:c>
      <x:c r="P87" s="28" t="str">
        <x:f>"117 | 118 | 119 | 120 | 121"</x:f>
        <x:v>117 | 118 | 119 | 120 | 121</x:v>
      </x:c>
      <x:c r="Q87" s="28" t="str">
        <x:f>"CTL0001 | CTL0008 | CTL0009 | CTL0012 | CTL0011"</x:f>
        <x:v>CTL0001 | CTL0008 | CTL0009 | CTL0012 | CTL0011</x:v>
      </x:c>
    </x:row>
    <x:row r="88">
      <x:c r="A88" s="22" t="n">
        <x:v>84</x:v>
      </x:c>
      <x:c r="B88" s="28" t="str">
        <x:f>"CTL0003"</x:f>
        <x:v>CTL0003</x:v>
      </x:c>
      <x:c r="C88" s="22" t="str">
        <x:v>CATETER TRIPLO LUMEN 7FRX20CM - BIOMEDICAL</x:v>
      </x:c>
      <x:c r="D88" s="22" t="str">
        <x:v>CATETER TRIPLO LUMEN 7FRX20CM</x:v>
      </x:c>
      <x:c r="E88" s="22" t="str">
        <x:v>CATETER TRIPLO LUMEN</x:v>
      </x:c>
      <x:c r="F88" s="22" t="str"/>
      <x:c r="G88" s="22" t="str"/>
      <x:c r="H88" s="22" t="str">
        <x:v>UND</x:v>
      </x:c>
      <x:c r="I88" s="22" t="str">
        <x:v>UNIDADE</x:v>
      </x:c>
      <x:c r="J88" s="22" t="str">
        <x:v>BIOMEDICAL</x:v>
      </x:c>
      <x:c r="K88" s="28" t="str">
        <x:f>"GTIN: 7898230230239"</x:f>
        <x:v>GTIN: 7898230230239</x:v>
      </x:c>
      <x:c r="L88" s="28" t="str">
        <x:f>"90183929"</x:f>
        <x:v>90183929</x:v>
      </x:c>
      <x:c r="M88" s="22" t="str">
        <x:v>UND</x:v>
      </x:c>
      <x:c r="N88" s="22" t="str">
        <x:v>UND</x:v>
      </x:c>
      <x:c r="O88" s="22" t="n">
        <x:v>1</x:v>
      </x:c>
      <x:c r="P88" s="28" t="str">
        <x:f>"122 | 126"</x:f>
        <x:v>122 | 126</x:v>
      </x:c>
      <x:c r="Q88" s="28" t="str">
        <x:f>"CTL0003 | CTL0006"</x:f>
        <x:v>CTL0003 | CTL0006</x:v>
      </x:c>
    </x:row>
    <x:row r="89">
      <x:c r="A89" s="22" t="n">
        <x:v>85</x:v>
      </x:c>
      <x:c r="B89" s="28" t="str">
        <x:f>"CS20006"</x:f>
        <x:v>CS20006</x:v>
      </x:c>
      <x:c r="C89" s="22" t="str">
        <x:v>CAVILON SPRAY 28ML - 3M</x:v>
      </x:c>
      <x:c r="D89" s="22" t="str">
        <x:v>CAVILON SPRAY</x:v>
      </x:c>
      <x:c r="E89" s="22" t="str">
        <x:v>CAVILON SPRAY</x:v>
      </x:c>
      <x:c r="F89" s="22" t="str">
        <x:v>28ML</x:v>
      </x:c>
      <x:c r="G89" s="22" t="str"/>
      <x:c r="H89" s="22" t="str">
        <x:v>UND</x:v>
      </x:c>
      <x:c r="I89" s="22" t="str">
        <x:v>UNIDADE</x:v>
      </x:c>
      <x:c r="J89" s="22" t="str">
        <x:v>3M</x:v>
      </x:c>
      <x:c r="K89" s="28" t="str">
        <x:f>"GTIN: 7891040075546"</x:f>
        <x:v>GTIN: 7891040075546</x:v>
      </x:c>
      <x:c r="L89" s="28" t="str">
        <x:f>"30051090"</x:f>
        <x:v>30051090</x:v>
      </x:c>
      <x:c r="M89" s="22" t="str">
        <x:v>UND</x:v>
      </x:c>
      <x:c r="N89" s="22" t="str">
        <x:v>UND</x:v>
      </x:c>
      <x:c r="O89" s="22" t="n">
        <x:v>1</x:v>
      </x:c>
      <x:c r="P89" s="28" t="str">
        <x:f>"127 | 128 | 129 | 130 | 131 | 132 | 133 | 134 | 135"</x:f>
        <x:v>127 | 128 | 129 | 130 | 131 | 132 | 133 | 134 | 135</x:v>
      </x:c>
      <x:c r="Q89" s="28" t="str">
        <x:f>"CS20006 | CS20005 | CS20003 | CS20034 | CS20002 | CS20004 | CS20007 | CS20001 | CS20008"</x:f>
        <x:v>CS20006 | CS20005 | CS20003 | CS20034 | CS20002 | CS20004 | CS20007 | CS20001 | CS20008</x:v>
      </x:c>
    </x:row>
    <x:row r="90">
      <x:c r="A90" s="22" t="n">
        <x:v>86</x:v>
      </x:c>
      <x:c r="B90" s="28" t="str">
        <x:f>"C5C0001"</x:f>
        <x:v>C5C0001</x:v>
      </x:c>
      <x:c r="C90" s="22" t="str">
        <x:v>CEFALEXINA 500MG - CX/50 CART/10CP - TEUTO</x:v>
      </x:c>
      <x:c r="D90" s="22" t="str">
        <x:v>CEFALEXINA CART 10CP</x:v>
      </x:c>
      <x:c r="E90" s="22" t="str">
        <x:v>CEFALEXINA CART 10CP</x:v>
      </x:c>
      <x:c r="F90" s="22" t="str">
        <x:v>500MG</x:v>
      </x:c>
      <x:c r="G90" s="22" t="str"/>
      <x:c r="H90" s="22" t="str">
        <x:v>CX/50 | 1C/10C</x:v>
      </x:c>
      <x:c r="I90" s="22" t="str">
        <x:v>OUTRA</x:v>
      </x:c>
      <x:c r="J90" s="22" t="str">
        <x:v>TEUTO</x:v>
      </x:c>
      <x:c r="K90" s="28" t="str">
        <x:f>"GTIN: 7896112132257"</x:f>
        <x:v>GTIN: 7896112132257</x:v>
      </x:c>
      <x:c r="L90" s="28" t="str">
        <x:f>"30042052"</x:f>
        <x:v>30042052</x:v>
      </x:c>
      <x:c r="M90" s="22" t="str">
        <x:v>1C/10C</x:v>
      </x:c>
      <x:c r="N90" s="22" t="str">
        <x:v>1C/10C</x:v>
      </x:c>
      <x:c r="O90" s="22" t="n">
        <x:v>1</x:v>
      </x:c>
      <x:c r="P90" s="28" t="str">
        <x:f>"136"</x:f>
        <x:v>136</x:v>
      </x:c>
      <x:c r="Q90" s="28" t="str">
        <x:f>"C5C0001"</x:f>
        <x:v>C5C0001</x:v>
      </x:c>
    </x:row>
    <x:row r="91">
      <x:c r="A91" s="22" t="n">
        <x:v>87</x:v>
      </x:c>
      <x:c r="B91" s="28" t="str">
        <x:f>"CS10001"</x:f>
        <x:v>CS10001</x:v>
      </x:c>
      <x:c r="C91" s="22" t="str">
        <x:v>CEFAZOLINA SÓDICA 1G C/50 - BIOCHIMICO</x:v>
      </x:c>
      <x:c r="D91" s="22" t="str">
        <x:v>CEFAZOLINA SODICA BIOCHIMICO</x:v>
      </x:c>
      <x:c r="E91" s="22" t="str">
        <x:v>CEFAZOLINA SODICA BIOCHIMICO</x:v>
      </x:c>
      <x:c r="F91" s="22" t="str">
        <x:v>1G</x:v>
      </x:c>
      <x:c r="G91" s="22" t="str">
        <x:v>1G</x:v>
      </x:c>
      <x:c r="H91" s="22" t="str">
        <x:v>UN</x:v>
      </x:c>
      <x:c r="I91" s="22" t="str">
        <x:v>UNIDADE</x:v>
      </x:c>
      <x:c r="J91" s="22" t="str">
        <x:v>EUGIA</x:v>
      </x:c>
      <x:c r="K91" s="28" t="str"/>
      <x:c r="L91" s="28" t="str">
        <x:f>"30042059"</x:f>
        <x:v>30042059</x:v>
      </x:c>
      <x:c r="M91" s="22" t="str">
        <x:v>UN</x:v>
      </x:c>
      <x:c r="N91" s="22" t="str">
        <x:v>UN</x:v>
      </x:c>
      <x:c r="O91" s="22" t="n">
        <x:v>1</x:v>
      </x:c>
      <x:c r="P91" s="28" t="str">
        <x:f>"137"</x:f>
        <x:v>137</x:v>
      </x:c>
      <x:c r="Q91" s="28" t="str">
        <x:f>"CS10001"</x:f>
        <x:v>CS10001</x:v>
      </x:c>
    </x:row>
    <x:row r="92">
      <x:c r="A92" s="22" t="n">
        <x:v>88</x:v>
      </x:c>
      <x:c r="B92" s="28" t="str">
        <x:f>"CS10025"</x:f>
        <x:v>CS10025</x:v>
      </x:c>
      <x:c r="C92" s="22" t="str">
        <x:v>CEFAZOLINA SÓDICA 1G C/50 - BLAU</x:v>
      </x:c>
      <x:c r="D92" s="22" t="str">
        <x:v>CEFAZOLINA SODICA</x:v>
      </x:c>
      <x:c r="E92" s="22" t="str">
        <x:v>CEFAZOLINA SODICA</x:v>
      </x:c>
      <x:c r="F92" s="22" t="str">
        <x:v>1G</x:v>
      </x:c>
      <x:c r="G92" s="22" t="str">
        <x:v>1G</x:v>
      </x:c>
      <x:c r="H92" s="22" t="str">
        <x:v>UN</x:v>
      </x:c>
      <x:c r="I92" s="22" t="str">
        <x:v>UNIDADE</x:v>
      </x:c>
      <x:c r="J92" s="22" t="str">
        <x:v>BLAU</x:v>
      </x:c>
      <x:c r="K92" s="28" t="str">
        <x:f>"GTIN: 7898901848509"</x:f>
        <x:v>GTIN: 7898901848509</x:v>
      </x:c>
      <x:c r="L92" s="28" t="str">
        <x:f>"30042059"</x:f>
        <x:v>30042059</x:v>
      </x:c>
      <x:c r="M92" s="22" t="str">
        <x:v>UN</x:v>
      </x:c>
      <x:c r="N92" s="22" t="str">
        <x:v>UN</x:v>
      </x:c>
      <x:c r="O92" s="22" t="n">
        <x:v>1</x:v>
      </x:c>
      <x:c r="P92" s="28" t="str">
        <x:f>"138 | 139 | 140 | 141 | 142 | 143 | 144 | 145 | 146 | 147 | 148 | 149"</x:f>
        <x:v>138 | 139 | 140 | 141 | 142 | 143 | 144 | 145 | 146 | 147 | 148 | 149</x:v>
      </x:c>
      <x:c r="Q92" s="28" t="str">
        <x:f>"CS10010 | CS10002 | CS10007 | CS10008 | CS10025 | CS10026 | CS10024 | CS10018 | CS10030 | CS10023 | CS10021 | CS10019"</x:f>
        <x:v>CS10010 | CS10002 | CS10007 | CS10008 | CS10025 | CS10026 | CS10024 | CS10018 | CS10030 | CS10023 | CS10021 | CS10019</x:v>
      </x:c>
    </x:row>
    <x:row r="93">
      <x:c r="A93" s="22" t="n">
        <x:v>89</x:v>
      </x:c>
      <x:c r="B93" s="28" t="str">
        <x:f>"CS10004"</x:f>
        <x:v>CS10004</x:v>
      </x:c>
      <x:c r="C93" s="22" t="str">
        <x:v>CEFAZOLINA SÓDICA 1G C/50 - EUGIA</x:v>
      </x:c>
      <x:c r="D93" s="22" t="str">
        <x:v>CEFAZOLINA SODICA</x:v>
      </x:c>
      <x:c r="E93" s="22" t="str">
        <x:v>CEFAZOLINA SODICA</x:v>
      </x:c>
      <x:c r="F93" s="22" t="str">
        <x:v>1G</x:v>
      </x:c>
      <x:c r="G93" s="22" t="str">
        <x:v>1G</x:v>
      </x:c>
      <x:c r="H93" s="22" t="str">
        <x:v>UN</x:v>
      </x:c>
      <x:c r="I93" s="22" t="str">
        <x:v>UNIDADE</x:v>
      </x:c>
      <x:c r="J93" s="22" t="str">
        <x:v>EUGIA</x:v>
      </x:c>
      <x:c r="K93" s="28" t="str"/>
      <x:c r="L93" s="28" t="str">
        <x:f>"30042059"</x:f>
        <x:v>30042059</x:v>
      </x:c>
      <x:c r="M93" s="22" t="str">
        <x:v>UN</x:v>
      </x:c>
      <x:c r="N93" s="22" t="str">
        <x:v>UN</x:v>
      </x:c>
      <x:c r="O93" s="22" t="n">
        <x:v>1</x:v>
      </x:c>
      <x:c r="P93" s="28" t="str">
        <x:f>"150 | 151 | 152 | 153 | 154 | 155"</x:f>
        <x:v>150 | 151 | 152 | 153 | 154 | 155</x:v>
      </x:c>
      <x:c r="Q93" s="28" t="str">
        <x:f>"CS10013 | CS10014 | CS10003 | CS10016 | CS10004 | CS10005"</x:f>
        <x:v>CS10013 | CS10014 | CS10003 | CS10016 | CS10004 | CS10005</x:v>
      </x:c>
    </x:row>
    <x:row r="94">
      <x:c r="A94" s="22" t="n">
        <x:v>90</x:v>
      </x:c>
      <x:c r="B94" s="28" t="str">
        <x:f>"CAS0001"</x:f>
        <x:v>CAS0001</x:v>
      </x:c>
      <x:c r="C94" s="22" t="str">
        <x:v>CEFTAZIDIMA E AVIBACTAM SÓDICO TORGENA 2000MG+500MG - CX/10 - PFIZER</x:v>
      </x:c>
      <x:c r="D94" s="22" t="str">
        <x:v>CEFTAZIDIMA AVIBACTAM SODICO TORGENA +</x:v>
      </x:c>
      <x:c r="E94" s="22" t="str">
        <x:v>CEFTAZIDIMA AVIBACTAM SODICO</x:v>
      </x:c>
      <x:c r="F94" s="22" t="str">
        <x:v>2000MG | 500MG</x:v>
      </x:c>
      <x:c r="G94" s="22" t="str"/>
      <x:c r="H94" s="22" t="str">
        <x:v>CX/10</x:v>
      </x:c>
      <x:c r="I94" s="22" t="str">
        <x:v>OUTRA</x:v>
      </x:c>
      <x:c r="J94" s="22" t="str">
        <x:v>PFIZER</x:v>
      </x:c>
      <x:c r="K94" s="28" t="str"/>
      <x:c r="L94" s="28" t="str">
        <x:f>"30042079"</x:f>
        <x:v>30042079</x:v>
      </x:c>
      <x:c r="M94" s="22" t="str">
        <x:v>UN</x:v>
      </x:c>
      <x:c r="N94" s="22" t="str"/>
      <x:c r="O94" s="22" t="n">
        <x:v>1</x:v>
      </x:c>
      <x:c r="P94" s="28" t="str">
        <x:f>"156"</x:f>
        <x:v>156</x:v>
      </x:c>
      <x:c r="Q94" s="28" t="str">
        <x:f>"CAS0001"</x:f>
        <x:v>CAS0001</x:v>
      </x:c>
    </x:row>
    <x:row r="95">
      <x:c r="A95" s="22" t="n">
        <x:v>91</x:v>
      </x:c>
      <x:c r="B95" s="28" t="str">
        <x:f>"CP10002"</x:f>
        <x:v>CP10002</x:v>
      </x:c>
      <x:c r="C95" s="22" t="str">
        <x:v>CEFTAZIDIMA PENTAIDRATADA 1G - CX/50 - FRESENIUS</x:v>
      </x:c>
      <x:c r="D95" s="22" t="str">
        <x:v>CEFTAZIDIMA PENTAIDRATADA</x:v>
      </x:c>
      <x:c r="E95" s="22" t="str">
        <x:v>CEFTAZIDIMA PENTAIDRATADA</x:v>
      </x:c>
      <x:c r="F95" s="22" t="str">
        <x:v>1G</x:v>
      </x:c>
      <x:c r="G95" s="22" t="str">
        <x:v>1G</x:v>
      </x:c>
      <x:c r="H95" s="22" t="str">
        <x:v>CX/50 | CX | CONTEUDO50 | FATOR50</x:v>
      </x:c>
      <x:c r="I95" s="22" t="str">
        <x:v>CAIXA</x:v>
      </x:c>
      <x:c r="J95" s="22" t="str">
        <x:v>FRESENIUS</x:v>
      </x:c>
      <x:c r="K95" s="28" t="str">
        <x:f>"GTIN: 7899498608934"</x:f>
        <x:v>GTIN: 7899498608934</x:v>
      </x:c>
      <x:c r="L95" s="28" t="str">
        <x:f>"30042059"</x:f>
        <x:v>30042059</x:v>
      </x:c>
      <x:c r="M95" s="22" t="str">
        <x:v>UN</x:v>
      </x:c>
      <x:c r="N95" s="22" t="str">
        <x:v>CX</x:v>
      </x:c>
      <x:c r="O95" s="22" t="n">
        <x:v>50</x:v>
      </x:c>
      <x:c r="P95" s="28" t="str">
        <x:f>"157 | 158"</x:f>
        <x:v>157 | 158</x:v>
      </x:c>
      <x:c r="Q95" s="28" t="str">
        <x:f>"CP10004 | CP10002"</x:f>
        <x:v>CP10004 | CP10002</x:v>
      </x:c>
    </x:row>
    <x:row r="96">
      <x:c r="A96" s="22" t="n">
        <x:v>92</x:v>
      </x:c>
      <x:c r="B96" s="28" t="str">
        <x:f>"CAS0002"</x:f>
        <x:v>CAS0002</x:v>
      </x:c>
      <x:c r="C96" s="22" t="str">
        <x:v>CEFTAZIDIMA PENTAIDRATADA 1G CX/25 - ABL</x:v>
      </x:c>
      <x:c r="D96" s="22" t="str">
        <x:v>CEFTAZIDIMA PENTAIDRATADA</x:v>
      </x:c>
      <x:c r="E96" s="22" t="str">
        <x:v>CEFTAZIDIMA PENTAIDRATADA</x:v>
      </x:c>
      <x:c r="F96" s="22" t="str">
        <x:v>1G</x:v>
      </x:c>
      <x:c r="G96" s="22" t="str">
        <x:v>1G</x:v>
      </x:c>
      <x:c r="H96" s="22" t="str">
        <x:v>CX/25 | CX | CONTEUDO25 | FATOR25</x:v>
      </x:c>
      <x:c r="I96" s="22" t="str">
        <x:v>CAIXA</x:v>
      </x:c>
      <x:c r="J96" s="22" t="str">
        <x:v>ABL</x:v>
      </x:c>
      <x:c r="K96" s="28" t="str"/>
      <x:c r="L96" s="28" t="str">
        <x:f>"30042079"</x:f>
        <x:v>30042079</x:v>
      </x:c>
      <x:c r="M96" s="22" t="str">
        <x:v>UN</x:v>
      </x:c>
      <x:c r="N96" s="22" t="str">
        <x:v>CX</x:v>
      </x:c>
      <x:c r="O96" s="22" t="n">
        <x:v>25</x:v>
      </x:c>
      <x:c r="P96" s="28" t="str">
        <x:f>"159"</x:f>
        <x:v>159</x:v>
      </x:c>
      <x:c r="Q96" s="28" t="str">
        <x:f>"CAS0002"</x:f>
        <x:v>CAS0002</x:v>
      </x:c>
    </x:row>
    <x:row r="97">
      <x:c r="A97" s="22" t="n">
        <x:v>93</x:v>
      </x:c>
      <x:c r="B97" s="28" t="str">
        <x:f>"C1A0005"</x:f>
        <x:v>C1A0005</x:v>
      </x:c>
      <x:c r="C97" s="22" t="str">
        <x:v>CEFTRIAXONA 1G - ABL - CX/50</x:v>
      </x:c>
      <x:c r="D97" s="22" t="str">
        <x:v>CEFTRIAXONA</x:v>
      </x:c>
      <x:c r="E97" s="22" t="str">
        <x:v>CEFTRIAXONA</x:v>
      </x:c>
      <x:c r="F97" s="22" t="str">
        <x:v>1G</x:v>
      </x:c>
      <x:c r="G97" s="22" t="str">
        <x:v>1G</x:v>
      </x:c>
      <x:c r="H97" s="22" t="str">
        <x:v>CX/50 | CX | CONTEUDO50 | FATOR50</x:v>
      </x:c>
      <x:c r="I97" s="22" t="str">
        <x:v>CAIXA</x:v>
      </x:c>
      <x:c r="J97" s="22" t="str">
        <x:v>ABL</x:v>
      </x:c>
      <x:c r="K97" s="28" t="str">
        <x:f>"GTIN: 7891317003005"</x:f>
        <x:v>GTIN: 7891317003005</x:v>
      </x:c>
      <x:c r="L97" s="28" t="str">
        <x:f>"29419031"</x:f>
        <x:v>29419031</x:v>
      </x:c>
      <x:c r="M97" s="22" t="str">
        <x:v>UN</x:v>
      </x:c>
      <x:c r="N97" s="22" t="str">
        <x:v>CX</x:v>
      </x:c>
      <x:c r="O97" s="22" t="n">
        <x:v>50</x:v>
      </x:c>
      <x:c r="P97" s="28" t="str">
        <x:f>"160 | 161"</x:f>
        <x:v>160 | 161</x:v>
      </x:c>
      <x:c r="Q97" s="28" t="str">
        <x:f>"C1A0005 | C1-0001"</x:f>
        <x:v>C1A0005 | C1-0001</x:v>
      </x:c>
    </x:row>
    <x:row r="98">
      <x:c r="A98" s="22" t="n">
        <x:v>94</x:v>
      </x:c>
      <x:c r="B98" s="28" t="str">
        <x:f>"C1-0002"</x:f>
        <x:v>C1-0002</x:v>
      </x:c>
      <x:c r="C98" s="22" t="str">
        <x:v>CEFTRIAXONA 1G - TEUTO - CX/50</x:v>
      </x:c>
      <x:c r="D98" s="22" t="str">
        <x:v>CEFTRIAXONA</x:v>
      </x:c>
      <x:c r="E98" s="22" t="str">
        <x:v>CEFTRIAXONA</x:v>
      </x:c>
      <x:c r="F98" s="22" t="str">
        <x:v>1G</x:v>
      </x:c>
      <x:c r="G98" s="22" t="str">
        <x:v>1G</x:v>
      </x:c>
      <x:c r="H98" s="22" t="str">
        <x:v>CX/50 | CX | CONTEUDO50 | FATOR50</x:v>
      </x:c>
      <x:c r="I98" s="22" t="str">
        <x:v>CAIXA</x:v>
      </x:c>
      <x:c r="J98" s="22" t="str">
        <x:v>TEUTO</x:v>
      </x:c>
      <x:c r="K98" s="28" t="str"/>
      <x:c r="L98" s="28" t="str">
        <x:f>"29419031"</x:f>
        <x:v>29419031</x:v>
      </x:c>
      <x:c r="M98" s="22" t="str">
        <x:v>UN</x:v>
      </x:c>
      <x:c r="N98" s="22" t="str">
        <x:v>CX</x:v>
      </x:c>
      <x:c r="O98" s="22" t="n">
        <x:v>50</x:v>
      </x:c>
      <x:c r="P98" s="28" t="str">
        <x:f>"162"</x:f>
        <x:v>162</x:v>
      </x:c>
      <x:c r="Q98" s="28" t="str">
        <x:f>"C1-0002"</x:f>
        <x:v>C1-0002</x:v>
      </x:c>
    </x:row>
    <x:row r="99">
      <x:c r="A99" s="22" t="n">
        <x:v>95</x:v>
      </x:c>
      <x:c r="B99" s="28" t="str">
        <x:f>"C1-0017"</x:f>
        <x:v>C1-0017</x:v>
      </x:c>
      <x:c r="C99" s="22" t="str">
        <x:v>CEFTRIAXONA DISSÓDICA 1000MG - BLAU - CX/100</x:v>
      </x:c>
      <x:c r="D99" s="22" t="str">
        <x:v>CEFTRIAXONA DISSODICA</x:v>
      </x:c>
      <x:c r="E99" s="22" t="str">
        <x:v>CEFTRIAXONA DISSODICA</x:v>
      </x:c>
      <x:c r="F99" s="22" t="str">
        <x:v>1000MG</x:v>
      </x:c>
      <x:c r="G99" s="22" t="str"/>
      <x:c r="H99" s="22" t="str">
        <x:v>CX/100 | CX | CONTEUDO50 | FATOR50</x:v>
      </x:c>
      <x:c r="I99" s="22" t="str">
        <x:v>CAIXA</x:v>
      </x:c>
      <x:c r="J99" s="22" t="str">
        <x:v>BLAU</x:v>
      </x:c>
      <x:c r="K99" s="28" t="str">
        <x:f>"GTIN: 7896014680603"</x:f>
        <x:v>GTIN: 7896014680603</x:v>
      </x:c>
      <x:c r="L99" s="28" t="str">
        <x:f>"29419031"</x:f>
        <x:v>29419031</x:v>
      </x:c>
      <x:c r="M99" s="22" t="str">
        <x:v>UN</x:v>
      </x:c>
      <x:c r="N99" s="22" t="str">
        <x:v>CX</x:v>
      </x:c>
      <x:c r="O99" s="22" t="n">
        <x:v>50</x:v>
      </x:c>
      <x:c r="P99" s="28" t="str">
        <x:f>"163"</x:f>
        <x:v>163</x:v>
      </x:c>
      <x:c r="Q99" s="28" t="str">
        <x:f>"C1-0017"</x:f>
        <x:v>C1-0017</x:v>
      </x:c>
    </x:row>
    <x:row r="100">
      <x:c r="A100" s="22" t="n">
        <x:v>96</x:v>
      </x:c>
      <x:c r="B100" s="28" t="str">
        <x:f>"C7-0001"</x:f>
        <x:v>C7-0001</x:v>
      </x:c>
      <x:c r="C100" s="22" t="str">
        <x:v>CEFUROXIMA 750MG - CX/25 - BIOCHIMICO</x:v>
      </x:c>
      <x:c r="D100" s="22" t="str">
        <x:v>CEFUROXIMA</x:v>
      </x:c>
      <x:c r="E100" s="22" t="str">
        <x:v>CEFUROXIMA</x:v>
      </x:c>
      <x:c r="F100" s="22" t="str">
        <x:v>750MG</x:v>
      </x:c>
      <x:c r="G100" s="22" t="str"/>
      <x:c r="H100" s="22" t="str">
        <x:v>CX/25 | CX | CONTEUDO50 | FATOR50</x:v>
      </x:c>
      <x:c r="I100" s="22" t="str">
        <x:v>CAIXA</x:v>
      </x:c>
      <x:c r="J100" s="22" t="str">
        <x:v>BIOCHIMICO</x:v>
      </x:c>
      <x:c r="K100" s="28" t="str">
        <x:f>"GTIN: 7898739420656"</x:f>
        <x:v>GTIN: 7898739420656</x:v>
      </x:c>
      <x:c r="L100" s="28" t="str">
        <x:f>"30042059"</x:f>
        <x:v>30042059</x:v>
      </x:c>
      <x:c r="M100" s="22" t="str">
        <x:v>UN</x:v>
      </x:c>
      <x:c r="N100" s="22" t="str">
        <x:v>CX</x:v>
      </x:c>
      <x:c r="O100" s="22" t="n">
        <x:v>50</x:v>
      </x:c>
      <x:c r="P100" s="28" t="str">
        <x:f>"164"</x:f>
        <x:v>164</x:v>
      </x:c>
      <x:c r="Q100" s="28" t="str">
        <x:f>"C7-0001"</x:f>
        <x:v>C7-0001</x:v>
      </x:c>
    </x:row>
    <x:row r="101">
      <x:c r="A101" s="22" t="n">
        <x:v>97</x:v>
      </x:c>
      <x:c r="B101" s="28" t="str">
        <x:f>"C7-0006"</x:f>
        <x:v>C7-0006</x:v>
      </x:c>
      <x:c r="C101" s="22" t="str">
        <x:v>CEFUROXIMA 750MG - CX/25 - EUGIA</x:v>
      </x:c>
      <x:c r="D101" s="22" t="str">
        <x:v>CEFUROXIMA</x:v>
      </x:c>
      <x:c r="E101" s="22" t="str">
        <x:v>CEFUROXIMA</x:v>
      </x:c>
      <x:c r="F101" s="22" t="str">
        <x:v>750MG</x:v>
      </x:c>
      <x:c r="G101" s="22" t="str"/>
      <x:c r="H101" s="22" t="str">
        <x:v>CX/25 | CX | CONTEUDO50 | FATOR50</x:v>
      </x:c>
      <x:c r="I101" s="22" t="str">
        <x:v>CAIXA</x:v>
      </x:c>
      <x:c r="J101" s="22" t="str">
        <x:v>EUGIA</x:v>
      </x:c>
      <x:c r="K101" s="28" t="str">
        <x:f>"GTIN: 7898739420656"</x:f>
        <x:v>GTIN: 7898739420656</x:v>
      </x:c>
      <x:c r="L101" s="28" t="str">
        <x:f>"30042059"</x:f>
        <x:v>30042059</x:v>
      </x:c>
      <x:c r="M101" s="22" t="str">
        <x:v>UN</x:v>
      </x:c>
      <x:c r="N101" s="22" t="str">
        <x:v>CX</x:v>
      </x:c>
      <x:c r="O101" s="22" t="n">
        <x:v>50</x:v>
      </x:c>
      <x:c r="P101" s="28" t="str">
        <x:f>"165 | 166"</x:f>
        <x:v>165 | 166</x:v>
      </x:c>
      <x:c r="Q101" s="28" t="str">
        <x:f>"C7-0006 | C7-0007"</x:f>
        <x:v>C7-0006 | C7-0007</x:v>
      </x:c>
    </x:row>
    <x:row r="102">
      <x:c r="A102" s="22" t="n">
        <x:v>98</x:v>
      </x:c>
      <x:c r="B102" s="28" t="str">
        <x:f>"T2C0001"</x:f>
        <x:v>T2C0001</x:v>
      </x:c>
      <x:c r="C102" s="22" t="str">
        <x:v>CETOPROFENO 100MG CX/50 - EUROFARMA</x:v>
      </x:c>
      <x:c r="D102" s="22" t="str">
        <x:v>CETOPROFENO</x:v>
      </x:c>
      <x:c r="E102" s="22" t="str">
        <x:v>CETOPROFENO</x:v>
      </x:c>
      <x:c r="F102" s="22" t="str">
        <x:v>100MG</x:v>
      </x:c>
      <x:c r="G102" s="22" t="str"/>
      <x:c r="H102" s="22" t="str">
        <x:v>CX/50 | CX | CONTEUDO50 | FATOR50</x:v>
      </x:c>
      <x:c r="I102" s="22" t="str">
        <x:v>CAIXA</x:v>
      </x:c>
      <x:c r="J102" s="22" t="str">
        <x:v>EUROFARMA</x:v>
      </x:c>
      <x:c r="K102" s="28" t="str">
        <x:f>"GTIN: 7897076911339"</x:f>
        <x:v>GTIN: 7897076911339</x:v>
      </x:c>
      <x:c r="L102" s="28" t="str">
        <x:f>"30049073"</x:f>
        <x:v>30049073</x:v>
      </x:c>
      <x:c r="M102" s="22" t="str">
        <x:v>UN</x:v>
      </x:c>
      <x:c r="N102" s="22" t="str">
        <x:v>CX</x:v>
      </x:c>
      <x:c r="O102" s="22" t="n">
        <x:v>50</x:v>
      </x:c>
      <x:c r="P102" s="28" t="str">
        <x:f>"167"</x:f>
        <x:v>167</x:v>
      </x:c>
      <x:c r="Q102" s="28" t="str">
        <x:f>"T2C0001"</x:f>
        <x:v>T2C0001</x:v>
      </x:c>
    </x:row>
    <x:row r="103">
      <x:c r="A103" s="22" t="n">
        <x:v>99</x:v>
      </x:c>
      <x:c r="B103" s="28" t="str">
        <x:f>"C1I0002"</x:f>
        <x:v>C1I0002</x:v>
      </x:c>
      <x:c r="C103" s="22" t="str">
        <x:v>CETOPROFENO 100MG IV - CX/50 - CRISTALIA</x:v>
      </x:c>
      <x:c r="D103" s="22" t="str">
        <x:v>CETOPROFENO IV CRISTALIA</x:v>
      </x:c>
      <x:c r="E103" s="22" t="str">
        <x:v>CETOPROFENO IV CRISTALIA</x:v>
      </x:c>
      <x:c r="F103" s="22" t="str">
        <x:v>100MG</x:v>
      </x:c>
      <x:c r="G103" s="22" t="str"/>
      <x:c r="H103" s="22" t="str">
        <x:v>CX/50 | CX | CONTEUDO50 | FATOR50</x:v>
      </x:c>
      <x:c r="I103" s="22" t="str">
        <x:v>CAIXA</x:v>
      </x:c>
      <x:c r="J103" s="22" t="str">
        <x:v>UNIAO QUIMICA</x:v>
      </x:c>
      <x:c r="K103" s="28" t="str">
        <x:f>"GTIN: 7897076911339"</x:f>
        <x:v>GTIN: 7897076911339</x:v>
      </x:c>
      <x:c r="L103" s="28" t="str">
        <x:f>"30049068"</x:f>
        <x:v>30049068</x:v>
      </x:c>
      <x:c r="M103" s="22" t="str">
        <x:v>UN</x:v>
      </x:c>
      <x:c r="N103" s="22" t="str">
        <x:v>CX</x:v>
      </x:c>
      <x:c r="O103" s="22" t="n">
        <x:v>50</x:v>
      </x:c>
      <x:c r="P103" s="28" t="str">
        <x:f>"168 | 169 | 170 | 171 | 172"</x:f>
        <x:v>168 | 169 | 170 | 171 | 172</x:v>
      </x:c>
      <x:c r="Q103" s="28" t="str">
        <x:f>"C1I0006 | C1I0005 | C1I0003 | C1I0002 | C1I0001"</x:f>
        <x:v>C1I0006 | C1I0005 | C1I0003 | C1I0002 | C1I0001</x:v>
      </x:c>
    </x:row>
    <x:row r="104">
      <x:c r="A104" s="22" t="n">
        <x:v>100</x:v>
      </x:c>
      <x:c r="B104" s="28" t="str">
        <x:f>"C1I0004"</x:f>
        <x:v>C1I0004</x:v>
      </x:c>
      <x:c r="C104" s="22" t="str">
        <x:v>CETOPROFENO 100MG IV - CX/50 - UNIÃO QUIMICA</x:v>
      </x:c>
      <x:c r="D104" s="22" t="str">
        <x:v>CETOPROFENO IV</x:v>
      </x:c>
      <x:c r="E104" s="22" t="str">
        <x:v>CETOPROFENO IV</x:v>
      </x:c>
      <x:c r="F104" s="22" t="str">
        <x:v>100MG</x:v>
      </x:c>
      <x:c r="G104" s="22" t="str"/>
      <x:c r="H104" s="22" t="str">
        <x:v>CX/50 | CX | CONTEUDO50 | FATOR50</x:v>
      </x:c>
      <x:c r="I104" s="22" t="str">
        <x:v>CAIXA</x:v>
      </x:c>
      <x:c r="J104" s="22" t="str">
        <x:v>UNIAO QUIMICA</x:v>
      </x:c>
      <x:c r="K104" s="28" t="str">
        <x:f>"GTIN: 7897076911339"</x:f>
        <x:v>GTIN: 7897076911339</x:v>
      </x:c>
      <x:c r="L104" s="28" t="str">
        <x:f>"30049068"</x:f>
        <x:v>30049068</x:v>
      </x:c>
      <x:c r="M104" s="22" t="str">
        <x:v>UN</x:v>
      </x:c>
      <x:c r="N104" s="22" t="str">
        <x:v>CX</x:v>
      </x:c>
      <x:c r="O104" s="22" t="n">
        <x:v>50</x:v>
      </x:c>
      <x:c r="P104" s="28" t="str">
        <x:f>"173 | 174"</x:f>
        <x:v>173 | 174</x:v>
      </x:c>
      <x:c r="Q104" s="28" t="str">
        <x:f>"C1I0004 | C1I0028"</x:f>
        <x:v>C1I0004 | C1I0028</x:v>
      </x:c>
    </x:row>
    <x:row r="105">
      <x:c r="A105" s="22" t="n">
        <x:v>101</x:v>
      </x:c>
      <x:c r="B105" s="28" t="str">
        <x:f>"C2C0008"</x:f>
        <x:v>C2C0008</x:v>
      </x:c>
      <x:c r="C105" s="22" t="str">
        <x:v>CIPROFLOXACINO 2MG/100ML - CX/60 - HALEXISTAR</x:v>
      </x:c>
      <x:c r="D105" s="22" t="str">
        <x:v>CIPROFLOXACINO</x:v>
      </x:c>
      <x:c r="E105" s="22" t="str">
        <x:v>CIPROFLOXACINO</x:v>
      </x:c>
      <x:c r="F105" s="22" t="str">
        <x:v>2MG/100ML | 2MG | 100ML</x:v>
      </x:c>
      <x:c r="G105" s="22" t="str"/>
      <x:c r="H105" s="22" t="str">
        <x:v>CX/60 | CX | CONTEUDO60 | FATOR60</x:v>
      </x:c>
      <x:c r="I105" s="22" t="str">
        <x:v>CAIXA</x:v>
      </x:c>
      <x:c r="J105" s="22" t="str">
        <x:v>HALEXISTAR</x:v>
      </x:c>
      <x:c r="K105" s="28" t="str"/>
      <x:c r="L105" s="28" t="str">
        <x:f>"30042099"</x:f>
        <x:v>30042099</x:v>
      </x:c>
      <x:c r="M105" s="22" t="str">
        <x:v>UN</x:v>
      </x:c>
      <x:c r="N105" s="22" t="str">
        <x:v>CX</x:v>
      </x:c>
      <x:c r="O105" s="22" t="n">
        <x:v>60</x:v>
      </x:c>
      <x:c r="P105" s="28" t="str">
        <x:f>"175"</x:f>
        <x:v>175</x:v>
      </x:c>
      <x:c r="Q105" s="28" t="str">
        <x:f>"C2C0008"</x:f>
        <x:v>C2C0008</x:v>
      </x:c>
    </x:row>
    <x:row r="106">
      <x:c r="A106" s="22" t="n">
        <x:v>102</x:v>
      </x:c>
      <x:c r="B106" s="28" t="str">
        <x:f>"C2-0001"</x:f>
        <x:v>C2-0001</x:v>
      </x:c>
      <x:c r="C106" s="22" t="str">
        <x:v>CIPROFLOXACINO 2MG/100ML - CX/80 - FRESENIUS</x:v>
      </x:c>
      <x:c r="D106" s="22" t="str">
        <x:v>CIPROFLOXACINO</x:v>
      </x:c>
      <x:c r="E106" s="22" t="str">
        <x:v>CIPROFLOXACINO</x:v>
      </x:c>
      <x:c r="F106" s="22" t="str">
        <x:v>2MG/100ML | 2MG | 100ML</x:v>
      </x:c>
      <x:c r="G106" s="22" t="str"/>
      <x:c r="H106" s="22" t="str">
        <x:v>CX/80 | CX | CONTEUDO80 | FATOR80</x:v>
      </x:c>
      <x:c r="I106" s="22" t="str">
        <x:v>CAIXA</x:v>
      </x:c>
      <x:c r="J106" s="22" t="str">
        <x:v>FRESENIUS</x:v>
      </x:c>
      <x:c r="K106" s="28" t="str">
        <x:f>"GTIN: 7897947708754"</x:f>
        <x:v>GTIN: 7897947708754</x:v>
      </x:c>
      <x:c r="L106" s="28" t="str">
        <x:f>"30042099"</x:f>
        <x:v>30042099</x:v>
      </x:c>
      <x:c r="M106" s="22" t="str">
        <x:v>UN</x:v>
      </x:c>
      <x:c r="N106" s="22" t="str">
        <x:v>CX</x:v>
      </x:c>
      <x:c r="O106" s="22" t="n">
        <x:v>80</x:v>
      </x:c>
      <x:c r="P106" s="28" t="str">
        <x:f>"176 | 177"</x:f>
        <x:v>176 | 177</x:v>
      </x:c>
      <x:c r="Q106" s="28" t="str">
        <x:f>"C2-0001 | C2C0007"</x:f>
        <x:v>C2-0001 | C2C0007</x:v>
      </x:c>
    </x:row>
    <x:row r="107">
      <x:c r="A107" s="22" t="n">
        <x:v>103</x:v>
      </x:c>
      <x:c r="B107" s="28" t="str">
        <x:f>"C2C0009"</x:f>
        <x:v>C2C0009</x:v>
      </x:c>
      <x:c r="C107" s="22" t="str">
        <x:v>CIPROFLOXACINO 2MG/100ML CX/60 - ISOFARMA</x:v>
      </x:c>
      <x:c r="D107" s="22" t="str">
        <x:v>CIPROFLOXACINO</x:v>
      </x:c>
      <x:c r="E107" s="22" t="str">
        <x:v>CIPROFLOXACINO</x:v>
      </x:c>
      <x:c r="F107" s="22" t="str">
        <x:v>2MG/100ML | 2MG | 100ML</x:v>
      </x:c>
      <x:c r="G107" s="22" t="str"/>
      <x:c r="H107" s="22" t="str">
        <x:v>CX/60 | CX | CONTEUDO60 | FATOR60</x:v>
      </x:c>
      <x:c r="I107" s="22" t="str">
        <x:v>CAIXA</x:v>
      </x:c>
      <x:c r="J107" s="22" t="str">
        <x:v>ISOFARMA</x:v>
      </x:c>
      <x:c r="K107" s="28" t="str">
        <x:f>"GTIN: 7897947708754"</x:f>
        <x:v>GTIN: 7897947708754</x:v>
      </x:c>
      <x:c r="L107" s="28" t="str">
        <x:f>"30042099"</x:f>
        <x:v>30042099</x:v>
      </x:c>
      <x:c r="M107" s="22" t="str">
        <x:v>UN</x:v>
      </x:c>
      <x:c r="N107" s="22" t="str">
        <x:v>CX</x:v>
      </x:c>
      <x:c r="O107" s="22" t="n">
        <x:v>60</x:v>
      </x:c>
      <x:c r="P107" s="28" t="str">
        <x:f>"178"</x:f>
        <x:v>178</x:v>
      </x:c>
      <x:c r="Q107" s="28" t="str">
        <x:f>"C2C0009"</x:f>
        <x:v>C2C0009</x:v>
      </x:c>
    </x:row>
    <x:row r="108">
      <x:c r="A108" s="22" t="n">
        <x:v>104</x:v>
      </x:c>
      <x:c r="B108" s="28" t="str">
        <x:f>"CF10001"</x:f>
        <x:v>CF10001</x:v>
      </x:c>
      <x:c r="C108" s="22" t="str">
        <x:v>CITRATO DE FENTANILA 0,05MG/ML 2ML AP - CX/25 - CRISTÁLIA</x:v>
      </x:c>
      <x:c r="D108" s="22" t="str">
        <x:v>CITRATO FENTANILA</x:v>
      </x:c>
      <x:c r="E108" s="22" t="str">
        <x:v>CITRATO FENTANILA</x:v>
      </x:c>
      <x:c r="F108" s="22" t="str">
        <x:v>0,05MG/ML | 0,05MG | 2ML</x:v>
      </x:c>
      <x:c r="G108" s="22" t="str"/>
      <x:c r="H108" s="22" t="str">
        <x:v>AP | CX/25 | CX | CONTEUDO25 | FATOR25</x:v>
      </x:c>
      <x:c r="I108" s="22" t="str">
        <x:v>CAIXA</x:v>
      </x:c>
      <x:c r="J108" s="22" t="str">
        <x:v>CRISTÁLIA</x:v>
      </x:c>
      <x:c r="K108" s="28" t="str">
        <x:f>"GTIN: 7896676437850"</x:f>
        <x:v>GTIN: 7896676437850</x:v>
      </x:c>
      <x:c r="L108" s="28" t="str">
        <x:f>"29333363"</x:f>
        <x:v>29333363</x:v>
      </x:c>
      <x:c r="M108" s="22" t="str">
        <x:v>UN</x:v>
      </x:c>
      <x:c r="N108" s="22" t="str">
        <x:v>CX</x:v>
      </x:c>
      <x:c r="O108" s="22" t="n">
        <x:v>25</x:v>
      </x:c>
      <x:c r="P108" s="28" t="str">
        <x:f>"179"</x:f>
        <x:v>179</x:v>
      </x:c>
      <x:c r="Q108" s="28" t="str">
        <x:f>"CF10001"</x:f>
        <x:v>CF10001</x:v>
      </x:c>
    </x:row>
    <x:row r="109">
      <x:c r="A109" s="22" t="n">
        <x:v>105</x:v>
      </x:c>
      <x:c r="B109" s="28" t="str">
        <x:f>"CF10002"</x:f>
        <x:v>CF10002</x:v>
      </x:c>
      <x:c r="C109" s="22" t="str">
        <x:v>CITRATO DE FENTANILA 0,05MG/ML 2ML AP CX/25 - HIPOLABOR</x:v>
      </x:c>
      <x:c r="D109" s="22" t="str">
        <x:v>CITRATO FENTANILA</x:v>
      </x:c>
      <x:c r="E109" s="22" t="str">
        <x:v>CITRATO FENTANILA</x:v>
      </x:c>
      <x:c r="F109" s="22" t="str">
        <x:v>0,05MG/ML | 0,05MG | 2ML</x:v>
      </x:c>
      <x:c r="G109" s="22" t="str"/>
      <x:c r="H109" s="22" t="str">
        <x:v>AP | CX/25 | CX | CONTEUDO25 | FATOR25</x:v>
      </x:c>
      <x:c r="I109" s="22" t="str">
        <x:v>CAIXA</x:v>
      </x:c>
      <x:c r="J109" s="22" t="str">
        <x:v>HIPOLABOR</x:v>
      </x:c>
      <x:c r="K109" s="28" t="str">
        <x:f>"GTIN: 7896676437850"</x:f>
        <x:v>GTIN: 7896676437850</x:v>
      </x:c>
      <x:c r="L109" s="28" t="str">
        <x:f>"29333363"</x:f>
        <x:v>29333363</x:v>
      </x:c>
      <x:c r="M109" s="22" t="str">
        <x:v>UN</x:v>
      </x:c>
      <x:c r="N109" s="22" t="str">
        <x:v>CX</x:v>
      </x:c>
      <x:c r="O109" s="22" t="n">
        <x:v>25</x:v>
      </x:c>
      <x:c r="P109" s="28" t="str">
        <x:f>"180 | 181"</x:f>
        <x:v>180 | 181</x:v>
      </x:c>
      <x:c r="Q109" s="28" t="str">
        <x:f>"CF10002 | CF00001"</x:f>
        <x:v>CF10002 | CF00001</x:v>
      </x:c>
    </x:row>
    <x:row r="110">
      <x:c r="A110" s="22" t="n">
        <x:v>106</x:v>
      </x:c>
      <x:c r="B110" s="28" t="str">
        <x:f>"CF00002"</x:f>
        <x:v>CF00002</x:v>
      </x:c>
      <x:c r="C110" s="22" t="str">
        <x:v>CITRATO DE FENTANILA 0,05MG/ML 2ML AP CX/50 - HIPOLABOR</x:v>
      </x:c>
      <x:c r="D110" s="22" t="str">
        <x:v>CITRATO FENTANILA</x:v>
      </x:c>
      <x:c r="E110" s="22" t="str">
        <x:v>CITRATO FENTANILA</x:v>
      </x:c>
      <x:c r="F110" s="22" t="str">
        <x:v>0,05MG/ML | 0,05MG | 2ML</x:v>
      </x:c>
      <x:c r="G110" s="22" t="str"/>
      <x:c r="H110" s="22" t="str">
        <x:v>AP | CX/50 | CX | CONTEUDO50 | FATOR50</x:v>
      </x:c>
      <x:c r="I110" s="22" t="str">
        <x:v>CAIXA</x:v>
      </x:c>
      <x:c r="J110" s="22" t="str">
        <x:v>HIPOLABOR</x:v>
      </x:c>
      <x:c r="K110" s="28" t="str"/>
      <x:c r="L110" s="28" t="str">
        <x:f>"29333363"</x:f>
        <x:v>29333363</x:v>
      </x:c>
      <x:c r="M110" s="22" t="str">
        <x:v>UN</x:v>
      </x:c>
      <x:c r="N110" s="22" t="str">
        <x:v>CX</x:v>
      </x:c>
      <x:c r="O110" s="22" t="n">
        <x:v>50</x:v>
      </x:c>
      <x:c r="P110" s="28" t="str">
        <x:f>"182"</x:f>
        <x:v>182</x:v>
      </x:c>
      <x:c r="Q110" s="28" t="str">
        <x:f>"CF00002"</x:f>
        <x:v>CF00002</x:v>
      </x:c>
    </x:row>
    <x:row r="111">
      <x:c r="A111" s="22" t="n">
        <x:v>107</x:v>
      </x:c>
      <x:c r="B111" s="28" t="str">
        <x:f>"CF10014"</x:f>
        <x:v>CF10014</x:v>
      </x:c>
      <x:c r="C111" s="22" t="str">
        <x:v>CITRATO DE FENTANILA 10ML/0,05MG - CX/25 - UNIÃO QUÍMICA</x:v>
      </x:c>
      <x:c r="D111" s="22" t="str">
        <x:v>CITRATO FENTANILA</x:v>
      </x:c>
      <x:c r="E111" s="22" t="str">
        <x:v>CITRATO FENTANILA</x:v>
      </x:c>
      <x:c r="F111" s="22" t="str">
        <x:v>0,05MG | 10ML</x:v>
      </x:c>
      <x:c r="G111" s="22" t="str"/>
      <x:c r="H111" s="22" t="str">
        <x:v>CX/25 | CX | CONTEUDO25 | FATOR25</x:v>
      </x:c>
      <x:c r="I111" s="22" t="str">
        <x:v>CAIXA</x:v>
      </x:c>
      <x:c r="J111" s="22" t="str">
        <x:v>UNIÃO QUÍMICA</x:v>
      </x:c>
      <x:c r="K111" s="28" t="str">
        <x:f>"GTIN: 7896676437850"</x:f>
        <x:v>GTIN: 7896676437850</x:v>
      </x:c>
      <x:c r="L111" s="28" t="str">
        <x:f>"29333363"</x:f>
        <x:v>29333363</x:v>
      </x:c>
      <x:c r="M111" s="22" t="str">
        <x:v>UN</x:v>
      </x:c>
      <x:c r="N111" s="22" t="str">
        <x:v>CX</x:v>
      </x:c>
      <x:c r="O111" s="22" t="n">
        <x:v>25</x:v>
      </x:c>
      <x:c r="P111" s="28" t="str">
        <x:f>"183"</x:f>
        <x:v>183</x:v>
      </x:c>
      <x:c r="Q111" s="28" t="str">
        <x:f>"CF10014"</x:f>
        <x:v>CF10014</x:v>
      </x:c>
    </x:row>
    <x:row r="112">
      <x:c r="A112" s="22" t="n">
        <x:v>108</x:v>
      </x:c>
      <x:c r="B112" s="28" t="str">
        <x:f>"CF00003"</x:f>
        <x:v>CF00003</x:v>
      </x:c>
      <x:c r="C112" s="22" t="str">
        <x:v>CITRATO DE FENTANILA 50MCG/ML 2ML AP CX/50 - HIPOLABOR</x:v>
      </x:c>
      <x:c r="D112" s="22" t="str">
        <x:v>CITRATO FENTANILA ML</x:v>
      </x:c>
      <x:c r="E112" s="22" t="str">
        <x:v>CITRATO FENTANILA ML</x:v>
      </x:c>
      <x:c r="F112" s="22" t="str">
        <x:v>50MCG | 2ML</x:v>
      </x:c>
      <x:c r="G112" s="22" t="str"/>
      <x:c r="H112" s="22" t="str">
        <x:v>AP | CX/50 | CX | CONTEUDO50 | FATOR50</x:v>
      </x:c>
      <x:c r="I112" s="22" t="str">
        <x:v>CAIXA</x:v>
      </x:c>
      <x:c r="J112" s="22" t="str">
        <x:v>HIPOLABOR</x:v>
      </x:c>
      <x:c r="K112" s="28" t="str"/>
      <x:c r="L112" s="28" t="str">
        <x:f>"29333363"</x:f>
        <x:v>29333363</x:v>
      </x:c>
      <x:c r="M112" s="22" t="str">
        <x:v>UN</x:v>
      </x:c>
      <x:c r="N112" s="22" t="str">
        <x:v>CX</x:v>
      </x:c>
      <x:c r="O112" s="22" t="n">
        <x:v>50</x:v>
      </x:c>
      <x:c r="P112" s="28" t="str">
        <x:f>"184"</x:f>
        <x:v>184</x:v>
      </x:c>
      <x:c r="Q112" s="28" t="str">
        <x:f>"CF00003"</x:f>
        <x:v>CF00003</x:v>
      </x:c>
    </x:row>
    <x:row r="113">
      <x:c r="A113" s="22" t="n">
        <x:v>109</x:v>
      </x:c>
      <x:c r="B113" s="28" t="str">
        <x:f>"CFF0002"</x:f>
        <x:v>CFF0002</x:v>
      </x:c>
      <x:c r="C113" s="22" t="str">
        <x:v>CITRATO DE FENTANILA FENTANEST 0,0785MG/ML 0,05 MG/ML 10ML CX/25 - CRISTÁLIA</x:v>
      </x:c>
      <x:c r="D113" s="22" t="str">
        <x:v>CITRATO FENTANILA FENTANEST</x:v>
      </x:c>
      <x:c r="E113" s="22" t="str">
        <x:v>CITRATO FENTANILA FENTANEST</x:v>
      </x:c>
      <x:c r="F113" s="22" t="str">
        <x:v>0,0785MG/ML | 0,05MG/ML | 0,0785MG | 0,05MG | 10ML</x:v>
      </x:c>
      <x:c r="G113" s="22" t="str"/>
      <x:c r="H113" s="22" t="str">
        <x:v>CX/25 | UN</x:v>
      </x:c>
      <x:c r="I113" s="22" t="str">
        <x:v>UNIDADE</x:v>
      </x:c>
      <x:c r="J113" s="22" t="str">
        <x:v>CRISTÁLIA</x:v>
      </x:c>
      <x:c r="K113" s="28" t="str">
        <x:f>"GTIN: 7896676429350"</x:f>
        <x:v>GTIN: 7896676429350</x:v>
      </x:c>
      <x:c r="L113" s="28" t="str">
        <x:f>"30049032"</x:f>
        <x:v>30049032</x:v>
      </x:c>
      <x:c r="M113" s="22" t="str">
        <x:v>UN</x:v>
      </x:c>
      <x:c r="N113" s="22" t="str">
        <x:v>UN</x:v>
      </x:c>
      <x:c r="O113" s="22" t="n">
        <x:v>1</x:v>
      </x:c>
      <x:c r="P113" s="28" t="str">
        <x:f>"185"</x:f>
        <x:v>185</x:v>
      </x:c>
      <x:c r="Q113" s="28" t="str">
        <x:f>"CFF0002"</x:f>
        <x:v>CFF0002</x:v>
      </x:c>
    </x:row>
    <x:row r="114">
      <x:c r="A114" s="22" t="n">
        <x:v>110</x:v>
      </x:c>
      <x:c r="B114" s="28" t="str">
        <x:f>"CFF0001"</x:f>
        <x:v>CFF0001</x:v>
      </x:c>
      <x:c r="C114" s="22" t="str">
        <x:v>CITRATO DE FENTANILA FENTANEST 0,0785MG/ML 0,05 MG/ML CX/25 - CRISTÁLIA</x:v>
      </x:c>
      <x:c r="D114" s="22" t="str">
        <x:v>CITRATO FENTANILA FENTANEST</x:v>
      </x:c>
      <x:c r="E114" s="22" t="str">
        <x:v>CITRATO FENTANILA FENTANEST</x:v>
      </x:c>
      <x:c r="F114" s="22" t="str">
        <x:v>0,0785MG/ML | 0,05MG/ML | 0,0785MG | 0,05MG</x:v>
      </x:c>
      <x:c r="G114" s="22" t="str"/>
      <x:c r="H114" s="22" t="str">
        <x:v>CX/25 | UN</x:v>
      </x:c>
      <x:c r="I114" s="22" t="str">
        <x:v>UNIDADE</x:v>
      </x:c>
      <x:c r="J114" s="22" t="str">
        <x:v>CRISTÁLIA</x:v>
      </x:c>
      <x:c r="K114" s="28" t="str">
        <x:f>"GTIN: 7896676429350"</x:f>
        <x:v>GTIN: 7896676429350</x:v>
      </x:c>
      <x:c r="L114" s="28" t="str">
        <x:f>"30049032"</x:f>
        <x:v>30049032</x:v>
      </x:c>
      <x:c r="M114" s="22" t="str">
        <x:v>UN</x:v>
      </x:c>
      <x:c r="N114" s="22" t="str">
        <x:v>UN</x:v>
      </x:c>
      <x:c r="O114" s="22" t="n">
        <x:v>1</x:v>
      </x:c>
      <x:c r="P114" s="28" t="str">
        <x:f>"186"</x:f>
        <x:v>186</x:v>
      </x:c>
      <x:c r="Q114" s="28" t="str">
        <x:f>"CFF0001"</x:f>
        <x:v>CFF0001</x:v>
      </x:c>
    </x:row>
    <x:row r="115">
      <x:c r="A115" s="22" t="n">
        <x:v>111</x:v>
      </x:c>
      <x:c r="B115" s="28" t="str">
        <x:f>"C5C0004"</x:f>
        <x:v>C5C0004</x:v>
      </x:c>
      <x:c r="C115" s="22" t="str">
        <x:v>CLARITROMICINA 500MG CLARILIB - CX/25 - BLAU</x:v>
      </x:c>
      <x:c r="D115" s="22" t="str">
        <x:v>CLARITROMICINA CLARILIB</x:v>
      </x:c>
      <x:c r="E115" s="22" t="str">
        <x:v>CLARITROMICINA CLARILIB</x:v>
      </x:c>
      <x:c r="F115" s="22" t="str">
        <x:v>500MG</x:v>
      </x:c>
      <x:c r="G115" s="22" t="str"/>
      <x:c r="H115" s="22" t="str">
        <x:v>CX/25 | CX | CONTEUDO25 | FATOR25</x:v>
      </x:c>
      <x:c r="I115" s="22" t="str">
        <x:v>CAIXA</x:v>
      </x:c>
      <x:c r="J115" s="22" t="str">
        <x:v>BLAU</x:v>
      </x:c>
      <x:c r="K115" s="28" t="str">
        <x:f>"GTIN: 7896014685141"</x:f>
        <x:v>GTIN: 7896014685141</x:v>
      </x:c>
      <x:c r="L115" s="28" t="str">
        <x:f>"29415010"</x:f>
        <x:v>29415010</x:v>
      </x:c>
      <x:c r="M115" s="22" t="str">
        <x:v>UN</x:v>
      </x:c>
      <x:c r="N115" s="22" t="str">
        <x:v>CX</x:v>
      </x:c>
      <x:c r="O115" s="22" t="n">
        <x:v>25</x:v>
      </x:c>
      <x:c r="P115" s="28" t="str">
        <x:f>"187 | 188"</x:f>
        <x:v>187 | 188</x:v>
      </x:c>
      <x:c r="Q115" s="28" t="str">
        <x:f>"C5C0004 | C5C0002"</x:f>
        <x:v>C5C0004 | C5C0002</x:v>
      </x:c>
    </x:row>
    <x:row r="116">
      <x:c r="A116" s="22" t="n">
        <x:v>112</x:v>
      </x:c>
      <x:c r="B116" s="28" t="str">
        <x:f>"C5-0004"</x:f>
        <x:v>C5-0004</x:v>
      </x:c>
      <x:c r="C116" s="22" t="str">
        <x:v>CLARITROMICINA 500MG CLINBACTER - CX/1 - UNIÃO QUÍMICA</x:v>
      </x:c>
      <x:c r="D116" s="22" t="str">
        <x:v>CLARITROMICINA CLINBACTER</x:v>
      </x:c>
      <x:c r="E116" s="22" t="str">
        <x:v>CLARITROMICINA CLINBACTER</x:v>
      </x:c>
      <x:c r="F116" s="22" t="str">
        <x:v>500MG</x:v>
      </x:c>
      <x:c r="G116" s="22" t="str"/>
      <x:c r="H116" s="22" t="str">
        <x:v>CX/1 | CX | CONTEUDO1</x:v>
      </x:c>
      <x:c r="I116" s="22" t="str">
        <x:v>CAIXA</x:v>
      </x:c>
      <x:c r="J116" s="22" t="str">
        <x:v>UNIÃO QUÍMICA</x:v>
      </x:c>
      <x:c r="K116" s="28" t="str">
        <x:f>"GTIN: 7896006220176"</x:f>
        <x:v>GTIN: 7896006220176</x:v>
      </x:c>
      <x:c r="L116" s="28" t="str">
        <x:f>"29415010"</x:f>
        <x:v>29415010</x:v>
      </x:c>
      <x:c r="M116" s="22" t="str">
        <x:v>UN</x:v>
      </x:c>
      <x:c r="N116" s="22" t="str">
        <x:v>CX</x:v>
      </x:c>
      <x:c r="O116" s="22" t="n">
        <x:v>1</x:v>
      </x:c>
      <x:c r="P116" s="28" t="str">
        <x:f>"189"</x:f>
        <x:v>189</x:v>
      </x:c>
      <x:c r="Q116" s="28" t="str">
        <x:f>"C5-0004"</x:f>
        <x:v>C5-0004</x:v>
      </x:c>
    </x:row>
    <x:row r="117">
      <x:c r="A117" s="22" t="n">
        <x:v>113</x:v>
      </x:c>
      <x:c r="B117" s="28" t="str">
        <x:f>"C5F0001"</x:f>
        <x:v>C5F0001</x:v>
      </x:c>
      <x:c r="C117" s="22" t="str">
        <x:v>CLARITROMICINA 500MG FR CX/01 - MANDALA</x:v>
      </x:c>
      <x:c r="D117" s="22" t="str">
        <x:v>CLARITROMICINA MANDALA</x:v>
      </x:c>
      <x:c r="E117" s="22" t="str">
        <x:v>CLARITROMICINA MANDALA</x:v>
      </x:c>
      <x:c r="F117" s="22" t="str">
        <x:v>500MG</x:v>
      </x:c>
      <x:c r="G117" s="22" t="str"/>
      <x:c r="H117" s="22" t="str">
        <x:v>FR | CX/01 | CX | CONTEUDO1</x:v>
      </x:c>
      <x:c r="I117" s="22" t="str">
        <x:v>CAIXA</x:v>
      </x:c>
      <x:c r="J117" s="22" t="str">
        <x:v>GUFIC</x:v>
      </x:c>
      <x:c r="K117" s="28" t="str"/>
      <x:c r="L117" s="28" t="str">
        <x:f>"30042029"</x:f>
        <x:v>30042029</x:v>
      </x:c>
      <x:c r="M117" s="22" t="str">
        <x:v>UN</x:v>
      </x:c>
      <x:c r="N117" s="22" t="str">
        <x:v>CX</x:v>
      </x:c>
      <x:c r="O117" s="22" t="n">
        <x:v>1</x:v>
      </x:c>
      <x:c r="P117" s="28" t="str">
        <x:f>"190 | 191"</x:f>
        <x:v>190 | 191</x:v>
      </x:c>
      <x:c r="Q117" s="28" t="str">
        <x:f>"C5F0001 | C5F0002"</x:f>
        <x:v>C5F0001 | C5F0002</x:v>
      </x:c>
    </x:row>
    <x:row r="118">
      <x:c r="A118" s="22" t="n">
        <x:v>114</x:v>
      </x:c>
      <x:c r="B118" s="28" t="str">
        <x:f>"C5F0003"</x:f>
        <x:v>C5F0003</x:v>
      </x:c>
      <x:c r="C118" s="22" t="str">
        <x:v>CLARITROMICINA 500MG FR CX/10 - ABL</x:v>
      </x:c>
      <x:c r="D118" s="22" t="str">
        <x:v>CLARITROMICINA</x:v>
      </x:c>
      <x:c r="E118" s="22" t="str">
        <x:v>CLARITROMICINA</x:v>
      </x:c>
      <x:c r="F118" s="22" t="str">
        <x:v>500MG</x:v>
      </x:c>
      <x:c r="G118" s="22" t="str"/>
      <x:c r="H118" s="22" t="str">
        <x:v>FR | CX/10 | CX | CONTEUDO10 | FATOR10</x:v>
      </x:c>
      <x:c r="I118" s="22" t="str">
        <x:v>CAIXA</x:v>
      </x:c>
      <x:c r="J118" s="22" t="str">
        <x:v>ABL</x:v>
      </x:c>
      <x:c r="K118" s="28" t="str"/>
      <x:c r="L118" s="28" t="str">
        <x:f>"30042029"</x:f>
        <x:v>30042029</x:v>
      </x:c>
      <x:c r="M118" s="22" t="str">
        <x:v>UN</x:v>
      </x:c>
      <x:c r="N118" s="22" t="str">
        <x:v>CX</x:v>
      </x:c>
      <x:c r="O118" s="22" t="n">
        <x:v>10</x:v>
      </x:c>
      <x:c r="P118" s="28" t="str">
        <x:f>"192"</x:f>
        <x:v>192</x:v>
      </x:c>
      <x:c r="Q118" s="28" t="str">
        <x:f>"C5F0003"</x:f>
        <x:v>C5F0003</x:v>
      </x:c>
    </x:row>
    <x:row r="119">
      <x:c r="A119" s="22" t="n">
        <x:v>115</x:v>
      </x:c>
      <x:c r="B119" s="28" t="str">
        <x:f>"C5C0003"</x:f>
        <x:v>C5C0003</x:v>
      </x:c>
      <x:c r="C119" s="22" t="str">
        <x:v>CLARITROMICINA 500MG KLARICID - CX/1 - ABBOTT</x:v>
      </x:c>
      <x:c r="D119" s="22" t="str">
        <x:v>CLARITROMICINA KLARICID</x:v>
      </x:c>
      <x:c r="E119" s="22" t="str">
        <x:v>CLARITROMICINA KLARICID</x:v>
      </x:c>
      <x:c r="F119" s="22" t="str">
        <x:v>500MG</x:v>
      </x:c>
      <x:c r="G119" s="22" t="str"/>
      <x:c r="H119" s="22" t="str">
        <x:v>CX/1 | CX | CONTEUDO1</x:v>
      </x:c>
      <x:c r="I119" s="22" t="str">
        <x:v>CAIXA</x:v>
      </x:c>
      <x:c r="J119" s="22" t="str">
        <x:v>ABBOTT</x:v>
      </x:c>
      <x:c r="K119" s="28" t="str">
        <x:f>"GTIN: 7896006220176"</x:f>
        <x:v>GTIN: 7896006220176</x:v>
      </x:c>
      <x:c r="L119" s="28" t="str">
        <x:f>"29415010"</x:f>
        <x:v>29415010</x:v>
      </x:c>
      <x:c r="M119" s="22" t="str">
        <x:v>UN</x:v>
      </x:c>
      <x:c r="N119" s="22" t="str">
        <x:v>CX</x:v>
      </x:c>
      <x:c r="O119" s="22" t="n">
        <x:v>1</x:v>
      </x:c>
      <x:c r="P119" s="28" t="str">
        <x:f>"193"</x:f>
        <x:v>193</x:v>
      </x:c>
      <x:c r="Q119" s="28" t="str">
        <x:f>"C5C0003"</x:f>
        <x:v>C5C0003</x:v>
      </x:c>
    </x:row>
    <x:row r="120">
      <x:c r="A120" s="22" t="n">
        <x:v>116</x:v>
      </x:c>
      <x:c r="B120" s="28" t="str">
        <x:f>"E2-0003"</x:f>
        <x:v>E2-0003</x:v>
      </x:c>
      <x:c r="C120" s="22" t="str">
        <x:v>CLEXANE ENOXAPARINA 20MG - CX/10 - SANOFI</x:v>
      </x:c>
      <x:c r="D120" s="22" t="str">
        <x:v>CLEXANE ENOXAPARINA</x:v>
      </x:c>
      <x:c r="E120" s="22" t="str">
        <x:v>CLEXANE ENOXAPARINA</x:v>
      </x:c>
      <x:c r="F120" s="22" t="str">
        <x:v>20MG</x:v>
      </x:c>
      <x:c r="G120" s="22" t="str"/>
      <x:c r="H120" s="22" t="str">
        <x:v>CX/10 | CX | CONTEUDO10 | FATOR10</x:v>
      </x:c>
      <x:c r="I120" s="22" t="str">
        <x:v>CAIXA</x:v>
      </x:c>
      <x:c r="J120" s="22" t="str">
        <x:v>SANOFI</x:v>
      </x:c>
      <x:c r="K120" s="28" t="str">
        <x:f>"GTIN: 7898560664878"</x:f>
        <x:v>GTIN: 7898560664878</x:v>
      </x:c>
      <x:c r="L120" s="28" t="str">
        <x:f>"30049099"</x:f>
        <x:v>30049099</x:v>
      </x:c>
      <x:c r="M120" s="22" t="str">
        <x:v>UN</x:v>
      </x:c>
      <x:c r="N120" s="22" t="str">
        <x:v>CX</x:v>
      </x:c>
      <x:c r="O120" s="22" t="n">
        <x:v>10</x:v>
      </x:c>
      <x:c r="P120" s="28" t="str">
        <x:f>"194"</x:f>
        <x:v>194</x:v>
      </x:c>
      <x:c r="Q120" s="28" t="str">
        <x:f>"E2-0003"</x:f>
        <x:v>E2-0003</x:v>
      </x:c>
    </x:row>
    <x:row r="121">
      <x:c r="A121" s="22" t="n">
        <x:v>117</x:v>
      </x:c>
      <x:c r="B121" s="28" t="str">
        <x:f>"C220001"</x:f>
        <x:v>C220001</x:v>
      </x:c>
      <x:c r="C121" s="22" t="str">
        <x:v>CLONAZEPAM 2.5MG/ML 20ML GTS FR CX/05 - HIPOLABOR</x:v>
      </x:c>
      <x:c r="D121" s="22" t="str">
        <x:v>CLONAZEPAM GTS</x:v>
      </x:c>
      <x:c r="E121" s="22" t="str">
        <x:v>CLONAZEPAM GTS</x:v>
      </x:c>
      <x:c r="F121" s="22" t="str">
        <x:v>2.5MG/ML | 2.5MG | 20ML</x:v>
      </x:c>
      <x:c r="G121" s="22" t="str"/>
      <x:c r="H121" s="22" t="str">
        <x:v>FR | CX/05 | CX | CONTEUDO5 | FATOR5</x:v>
      </x:c>
      <x:c r="I121" s="22" t="str">
        <x:v>CAIXA</x:v>
      </x:c>
      <x:c r="J121" s="22" t="str">
        <x:v>HIPOLABOR</x:v>
      </x:c>
      <x:c r="K121" s="28" t="str">
        <x:f>"GTIN: 7899095258365"</x:f>
        <x:v>GTIN: 7899095258365</x:v>
      </x:c>
      <x:c r="L121" s="28" t="str">
        <x:f>"29339113"</x:f>
        <x:v>29339113</x:v>
      </x:c>
      <x:c r="M121" s="22" t="str">
        <x:v>UN</x:v>
      </x:c>
      <x:c r="N121" s="22" t="str">
        <x:v>CX</x:v>
      </x:c>
      <x:c r="O121" s="22" t="n">
        <x:v>5</x:v>
      </x:c>
      <x:c r="P121" s="28" t="str">
        <x:f>"195"</x:f>
        <x:v>195</x:v>
      </x:c>
      <x:c r="Q121" s="28" t="str">
        <x:f>"C220001"</x:f>
        <x:v>C220001</x:v>
      </x:c>
    </x:row>
    <x:row r="122">
      <x:c r="A122" s="22" t="n">
        <x:v>118</x:v>
      </x:c>
      <x:c r="B122" s="28" t="str"/>
      <x:c r="C122" s="22" t="str">
        <x:v>CLOPIDOGREL (BISSULFATO) 75MG CX/ 30CP- AUROBINDO</x:v>
      </x:c>
      <x:c r="D122" s="22" t="str">
        <x:v>CLOPIDOGREL 30CP</x:v>
      </x:c>
      <x:c r="E122" s="22" t="str">
        <x:v>CLOPIDOGREL 30CP</x:v>
      </x:c>
      <x:c r="F122" s="22" t="str">
        <x:v>75MG</x:v>
      </x:c>
      <x:c r="G122" s="22" t="str"/>
      <x:c r="H122" s="22" t="str">
        <x:v>CX/ | CP</x:v>
      </x:c>
      <x:c r="I122" s="22" t="str">
        <x:v>OUTRA</x:v>
      </x:c>
      <x:c r="J122" s="22" t="str">
        <x:v>AUROBINDO</x:v>
      </x:c>
      <x:c r="K122" s="28" t="str"/>
      <x:c r="L122" s="28" t="str">
        <x:f>"30049079"</x:f>
        <x:v>30049079</x:v>
      </x:c>
      <x:c r="M122" s="22" t="str">
        <x:v>CP</x:v>
      </x:c>
      <x:c r="N122" s="22" t="str">
        <x:v>CP</x:v>
      </x:c>
      <x:c r="O122" s="22" t="n">
        <x:v>1</x:v>
      </x:c>
      <x:c r="P122" s="28" t="str">
        <x:f>"196"</x:f>
        <x:v>196</x:v>
      </x:c>
      <x:c r="Q122" s="28" t="str"/>
    </x:row>
    <x:row r="123">
      <x:c r="A123" s="22" t="n">
        <x:v>119</x:v>
      </x:c>
      <x:c r="B123" s="28" t="str">
        <x:f>"CS00013"</x:f>
        <x:v>CS00013</x:v>
      </x:c>
      <x:c r="C123" s="22" t="str">
        <x:v>CLORETO DE SODIO 0,9% 1000ML - BASAL</x:v>
      </x:c>
      <x:c r="D123" s="22" t="str">
        <x:v>CLORETO SODIO %</x:v>
      </x:c>
      <x:c r="E123" s="22" t="str">
        <x:v>CLORETO SODIO</x:v>
      </x:c>
      <x:c r="F123" s="22" t="str">
        <x:v>1000ML</x:v>
      </x:c>
      <x:c r="G123" s="22" t="str"/>
      <x:c r="H123" s="22" t="str">
        <x:v>UN</x:v>
      </x:c>
      <x:c r="I123" s="22" t="str">
        <x:v>UNIDADE</x:v>
      </x:c>
      <x:c r="J123" s="22" t="str">
        <x:v>BASAL</x:v>
      </x:c>
      <x:c r="K123" s="28" t="str"/>
      <x:c r="L123" s="28" t="str">
        <x:f>"28470000"</x:f>
        <x:v>28470000</x:v>
      </x:c>
      <x:c r="M123" s="22" t="str">
        <x:v>UN</x:v>
      </x:c>
      <x:c r="N123" s="22" t="str">
        <x:v>UN</x:v>
      </x:c>
      <x:c r="O123" s="22" t="n">
        <x:v>1</x:v>
      </x:c>
      <x:c r="P123" s="28" t="str">
        <x:f>"197 | 198"</x:f>
        <x:v>197 | 198</x:v>
      </x:c>
      <x:c r="Q123" s="28" t="str">
        <x:f>"CS00013 | CS00014"</x:f>
        <x:v>CS00013 | CS00014</x:v>
      </x:c>
    </x:row>
    <x:row r="124">
      <x:c r="A124" s="22" t="n">
        <x:v>120</x:v>
      </x:c>
      <x:c r="B124" s="28" t="str">
        <x:f>"CS00005"</x:f>
        <x:v>CS00005</x:v>
      </x:c>
      <x:c r="C124" s="22" t="str">
        <x:v>CLORETO DE SODIO 0,9% 100ML CX/50 - FRESENIUS</x:v>
      </x:c>
      <x:c r="D124" s="22" t="str">
        <x:v>CLORETO SODIO %</x:v>
      </x:c>
      <x:c r="E124" s="22" t="str">
        <x:v>CLORETO SODIO</x:v>
      </x:c>
      <x:c r="F124" s="22" t="str">
        <x:v>100ML</x:v>
      </x:c>
      <x:c r="G124" s="22" t="str"/>
      <x:c r="H124" s="22" t="str">
        <x:v>CX/50 | CX | CONTEUDO50 | FATOR50</x:v>
      </x:c>
      <x:c r="I124" s="22" t="str">
        <x:v>CAIXA</x:v>
      </x:c>
      <x:c r="J124" s="22" t="str">
        <x:v>FRESENIUS</x:v>
      </x:c>
      <x:c r="K124" s="28" t="str"/>
      <x:c r="L124" s="28" t="str">
        <x:f>"28470000"</x:f>
        <x:v>28470000</x:v>
      </x:c>
      <x:c r="M124" s="22" t="str">
        <x:v>UN</x:v>
      </x:c>
      <x:c r="N124" s="22" t="str">
        <x:v>CX</x:v>
      </x:c>
      <x:c r="O124" s="22" t="n">
        <x:v>50</x:v>
      </x:c>
      <x:c r="P124" s="28" t="str">
        <x:f>"199"</x:f>
        <x:v>199</x:v>
      </x:c>
      <x:c r="Q124" s="28" t="str">
        <x:f>"CS00005"</x:f>
        <x:v>CS00005</x:v>
      </x:c>
    </x:row>
    <x:row r="125">
      <x:c r="A125" s="22" t="n">
        <x:v>121</x:v>
      </x:c>
      <x:c r="B125" s="28" t="str">
        <x:f>"CS00022"</x:f>
        <x:v>CS00022</x:v>
      </x:c>
      <x:c r="C125" s="22" t="str">
        <x:v>CLORETO DE SODIO 0,9% 100ML CX/80 - FRESENIUS</x:v>
      </x:c>
      <x:c r="D125" s="22" t="str">
        <x:v>CLORETO SODIO %</x:v>
      </x:c>
      <x:c r="E125" s="22" t="str">
        <x:v>CLORETO SODIO</x:v>
      </x:c>
      <x:c r="F125" s="22" t="str">
        <x:v>100ML</x:v>
      </x:c>
      <x:c r="G125" s="22" t="str"/>
      <x:c r="H125" s="22" t="str">
        <x:v>CX/80 | CX | CONTEUDO80 | FATOR80</x:v>
      </x:c>
      <x:c r="I125" s="22" t="str">
        <x:v>CAIXA</x:v>
      </x:c>
      <x:c r="J125" s="22" t="str">
        <x:v>FRESENIUS</x:v>
      </x:c>
      <x:c r="K125" s="28" t="str">
        <x:f>"GTIN: 7898166040342"</x:f>
        <x:v>GTIN: 7898166040342</x:v>
      </x:c>
      <x:c r="L125" s="28" t="str">
        <x:f>"28470000"</x:f>
        <x:v>28470000</x:v>
      </x:c>
      <x:c r="M125" s="22" t="str">
        <x:v>UN</x:v>
      </x:c>
      <x:c r="N125" s="22" t="str">
        <x:v>CX</x:v>
      </x:c>
      <x:c r="O125" s="22" t="n">
        <x:v>80</x:v>
      </x:c>
      <x:c r="P125" s="28" t="str">
        <x:f>"200 | 201 | 202 | 203"</x:f>
        <x:v>200 | 201 | 202 | 203</x:v>
      </x:c>
      <x:c r="Q125" s="28" t="str">
        <x:f>"CS00022 | CS00021 | CS00020 | CS00011"</x:f>
        <x:v>CS00022 | CS00021 | CS00020 | CS00011</x:v>
      </x:c>
    </x:row>
    <x:row r="126">
      <x:c r="A126" s="22" t="n">
        <x:v>122</x:v>
      </x:c>
      <x:c r="B126" s="28" t="str">
        <x:f>"CS00002"</x:f>
        <x:v>CS00002</x:v>
      </x:c>
      <x:c r="C126" s="22" t="str">
        <x:v>CLORETO DE SODIO 0,9% 100ML FR - FARMARIN</x:v>
      </x:c>
      <x:c r="D126" s="22" t="str">
        <x:v>CLORETO SODIO %</x:v>
      </x:c>
      <x:c r="E126" s="22" t="str">
        <x:v>CLORETO SODIO</x:v>
      </x:c>
      <x:c r="F126" s="22" t="str">
        <x:v>100ML</x:v>
      </x:c>
      <x:c r="G126" s="22" t="str"/>
      <x:c r="H126" s="22" t="str">
        <x:v>FR | CX | CONTEUDO16 | FATOR16</x:v>
      </x:c>
      <x:c r="I126" s="22" t="str">
        <x:v>CAIXA</x:v>
      </x:c>
      <x:c r="J126" s="22" t="str">
        <x:v>FARMARIN</x:v>
      </x:c>
      <x:c r="K126" s="28" t="str">
        <x:f>"GTIN: 7898179363896"</x:f>
        <x:v>GTIN: 7898179363896</x:v>
      </x:c>
      <x:c r="L126" s="28" t="str">
        <x:f>"28470000"</x:f>
        <x:v>28470000</x:v>
      </x:c>
      <x:c r="M126" s="22" t="str">
        <x:v>UN</x:v>
      </x:c>
      <x:c r="N126" s="22" t="str">
        <x:v>CX</x:v>
      </x:c>
      <x:c r="O126" s="22" t="n">
        <x:v>16</x:v>
      </x:c>
      <x:c r="P126" s="28" t="str">
        <x:f>"226"</x:f>
        <x:v>226</x:v>
      </x:c>
      <x:c r="Q126" s="28" t="str">
        <x:f>"CS00002"</x:f>
        <x:v>CS00002</x:v>
      </x:c>
    </x:row>
    <x:row r="127">
      <x:c r="A127" s="22" t="n">
        <x:v>123</x:v>
      </x:c>
      <x:c r="B127" s="28" t="str">
        <x:f>"CS00009"</x:f>
        <x:v>CS00009</x:v>
      </x:c>
      <x:c r="C127" s="22" t="str">
        <x:v>CLORETO DE SODIO 0,9% 10ML AP - CX/200 - EQUIPLEX</x:v>
      </x:c>
      <x:c r="D127" s="22" t="str">
        <x:v>CLORETO SODIO %</x:v>
      </x:c>
      <x:c r="E127" s="22" t="str">
        <x:v>CLORETO SODIO</x:v>
      </x:c>
      <x:c r="F127" s="22" t="str">
        <x:v>10ML</x:v>
      </x:c>
      <x:c r="G127" s="22" t="str"/>
      <x:c r="H127" s="22" t="str">
        <x:v>AP | CX/200 | CX | CONTEUDO200 | FATOR200</x:v>
      </x:c>
      <x:c r="I127" s="22" t="str">
        <x:v>CAIXA</x:v>
      </x:c>
      <x:c r="J127" s="22" t="str">
        <x:v>EQUIPLEX</x:v>
      </x:c>
      <x:c r="K127" s="28" t="str">
        <x:f>"GTIN: 7898007676235"</x:f>
        <x:v>GTIN: 7898007676235</x:v>
      </x:c>
      <x:c r="L127" s="28" t="str">
        <x:f>"30049099"</x:f>
        <x:v>30049099</x:v>
      </x:c>
      <x:c r="M127" s="22" t="str">
        <x:v>UN</x:v>
      </x:c>
      <x:c r="N127" s="22" t="str">
        <x:v>CX</x:v>
      </x:c>
      <x:c r="O127" s="22" t="n">
        <x:v>200</x:v>
      </x:c>
      <x:c r="P127" s="28" t="str">
        <x:f>"227 | 228 | 229"</x:f>
        <x:v>227 | 228 | 229</x:v>
      </x:c>
      <x:c r="Q127" s="28" t="str">
        <x:f>"CS00009 | CS00076 | CS00001"</x:f>
        <x:v>CS00009 | CS00076 | CS00001</x:v>
      </x:c>
    </x:row>
    <x:row r="128">
      <x:c r="A128" s="22" t="n">
        <x:v>124</x:v>
      </x:c>
      <x:c r="B128" s="28" t="str">
        <x:f>"CS00004"</x:f>
        <x:v>CS00004</x:v>
      </x:c>
      <x:c r="C128" s="22" t="str">
        <x:v>CLORETO DE SODIO 0,9% 250ML CX/50 - FRESENIUS</x:v>
      </x:c>
      <x:c r="D128" s="22" t="str">
        <x:v>CLORETO SODIO %</x:v>
      </x:c>
      <x:c r="E128" s="22" t="str">
        <x:v>CLORETO SODIO</x:v>
      </x:c>
      <x:c r="F128" s="22" t="str">
        <x:v>250ML</x:v>
      </x:c>
      <x:c r="G128" s="22" t="str"/>
      <x:c r="H128" s="22" t="str">
        <x:v>CX/50 | CX | CONTEUDO50 | FATOR50</x:v>
      </x:c>
      <x:c r="I128" s="22" t="str">
        <x:v>CAIXA</x:v>
      </x:c>
      <x:c r="J128" s="22" t="str">
        <x:v>FRESENIUS</x:v>
      </x:c>
      <x:c r="K128" s="28" t="str"/>
      <x:c r="L128" s="28" t="str">
        <x:f>"28470000"</x:f>
        <x:v>28470000</x:v>
      </x:c>
      <x:c r="M128" s="22" t="str">
        <x:v>UN</x:v>
      </x:c>
      <x:c r="N128" s="22" t="str">
        <x:v>CX</x:v>
      </x:c>
      <x:c r="O128" s="22" t="n">
        <x:v>50</x:v>
      </x:c>
      <x:c r="P128" s="28" t="str">
        <x:f>"204 | 205 | 206 | 207 | 208"</x:f>
        <x:v>204 | 205 | 206 | 207 | 208</x:v>
      </x:c>
      <x:c r="Q128" s="28" t="str">
        <x:f>"CS00004 | CS00003 | CS00015 | CS00017 | CS00018"</x:f>
        <x:v>CS00004 | CS00003 | CS00015 | CS00017 | CS00018</x:v>
      </x:c>
    </x:row>
    <x:row r="129">
      <x:c r="A129" s="22" t="n">
        <x:v>125</x:v>
      </x:c>
      <x:c r="B129" s="28" t="str">
        <x:f>"CS00016"</x:f>
        <x:v>CS00016</x:v>
      </x:c>
      <x:c r="C129" s="22" t="str">
        <x:v>CLORETO DE SODIO 0,9% 500ML - CX/16 FARMACE</x:v>
      </x:c>
      <x:c r="D129" s="22" t="str">
        <x:v>CLORETO SODIO % FARMACE</x:v>
      </x:c>
      <x:c r="E129" s="22" t="str">
        <x:v>CLORETO SODIO FARMACE</x:v>
      </x:c>
      <x:c r="F129" s="22" t="str">
        <x:v>500ML</x:v>
      </x:c>
      <x:c r="G129" s="22" t="str"/>
      <x:c r="H129" s="22" t="str">
        <x:v>CX/16 | CX | CONTEUDO24 | FATOR24</x:v>
      </x:c>
      <x:c r="I129" s="22" t="str">
        <x:v>CAIXA</x:v>
      </x:c>
      <x:c r="J129" s="22" t="str">
        <x:v>FRESENIUS</x:v>
      </x:c>
      <x:c r="K129" s="28" t="str">
        <x:f>"GTIN: 7896727801319"</x:f>
        <x:v>GTIN: 7896727801319</x:v>
      </x:c>
      <x:c r="L129" s="28" t="str">
        <x:f>"28470000"</x:f>
        <x:v>28470000</x:v>
      </x:c>
      <x:c r="M129" s="22" t="str">
        <x:v>UN</x:v>
      </x:c>
      <x:c r="N129" s="22" t="str">
        <x:v>CX</x:v>
      </x:c>
      <x:c r="O129" s="22" t="n">
        <x:v>24</x:v>
      </x:c>
      <x:c r="P129" s="28" t="str">
        <x:f>"209"</x:f>
        <x:v>209</x:v>
      </x:c>
      <x:c r="Q129" s="28" t="str">
        <x:f>"CS00016"</x:f>
        <x:v>CS00016</x:v>
      </x:c>
    </x:row>
    <x:row r="130">
      <x:c r="A130" s="22" t="n">
        <x:v>126</x:v>
      </x:c>
      <x:c r="B130" s="28" t="str">
        <x:f>"CS00079"</x:f>
        <x:v>CS00079</x:v>
      </x:c>
      <x:c r="C130" s="22" t="str">
        <x:v>CLORETO DE SODIO 0,9% 500ML - CX/16 FARMARIN</x:v>
      </x:c>
      <x:c r="D130" s="22" t="str">
        <x:v>CLORETO SODIO % FARMARIN</x:v>
      </x:c>
      <x:c r="E130" s="22" t="str">
        <x:v>CLORETO SODIO FARMARIN</x:v>
      </x:c>
      <x:c r="F130" s="22" t="str">
        <x:v>500ML</x:v>
      </x:c>
      <x:c r="G130" s="22" t="str"/>
      <x:c r="H130" s="22" t="str">
        <x:v>CX/16 | CX | CONTEUDO24 | FATOR24</x:v>
      </x:c>
      <x:c r="I130" s="22" t="str">
        <x:v>CAIXA</x:v>
      </x:c>
      <x:c r="J130" s="22" t="str">
        <x:v>FRESENIUS</x:v>
      </x:c>
      <x:c r="K130" s="28" t="str"/>
      <x:c r="L130" s="28" t="str">
        <x:f>"28470000"</x:f>
        <x:v>28470000</x:v>
      </x:c>
      <x:c r="M130" s="22" t="str">
        <x:v>UN</x:v>
      </x:c>
      <x:c r="N130" s="22" t="str">
        <x:v>CX</x:v>
      </x:c>
      <x:c r="O130" s="22" t="n">
        <x:v>24</x:v>
      </x:c>
      <x:c r="P130" s="28" t="str">
        <x:f>"210"</x:f>
        <x:v>210</x:v>
      </x:c>
      <x:c r="Q130" s="28" t="str">
        <x:f>"CS00079"</x:f>
        <x:v>CS00079</x:v>
      </x:c>
    </x:row>
    <x:row r="131">
      <x:c r="A131" s="22" t="n">
        <x:v>127</x:v>
      </x:c>
      <x:c r="B131" s="28" t="str">
        <x:f>"CS00073"</x:f>
        <x:v>CS00073</x:v>
      </x:c>
      <x:c r="C131" s="22" t="str">
        <x:v>CLORETO DE SODIO 0,9% 500ML - CX/16 FRC. - FARMARIN</x:v>
      </x:c>
      <x:c r="D131" s="22" t="str">
        <x:v>CLORETO SODIO % FRC</x:v>
      </x:c>
      <x:c r="E131" s="22" t="str">
        <x:v>CLORETO SODIO FRC</x:v>
      </x:c>
      <x:c r="F131" s="22" t="str">
        <x:v>500ML</x:v>
      </x:c>
      <x:c r="G131" s="22" t="str"/>
      <x:c r="H131" s="22" t="str">
        <x:v>CX/16 | CX | CONTEUDO16 | FATOR16</x:v>
      </x:c>
      <x:c r="I131" s="22" t="str">
        <x:v>CAIXA</x:v>
      </x:c>
      <x:c r="J131" s="22" t="str">
        <x:v>FARMARIN</x:v>
      </x:c>
      <x:c r="K131" s="28" t="str">
        <x:f>"GTIN: 7898179363896"</x:f>
        <x:v>GTIN: 7898179363896</x:v>
      </x:c>
      <x:c r="L131" s="28" t="str">
        <x:f>"28470000"</x:f>
        <x:v>28470000</x:v>
      </x:c>
      <x:c r="M131" s="22" t="str">
        <x:v>UN</x:v>
      </x:c>
      <x:c r="N131" s="22" t="str">
        <x:v>CX</x:v>
      </x:c>
      <x:c r="O131" s="22" t="n">
        <x:v>16</x:v>
      </x:c>
      <x:c r="P131" s="28" t="str">
        <x:f>"230"</x:f>
        <x:v>230</x:v>
      </x:c>
      <x:c r="Q131" s="28" t="str">
        <x:f>"CS00073"</x:f>
        <x:v>CS00073</x:v>
      </x:c>
    </x:row>
    <x:row r="132">
      <x:c r="A132" s="22" t="n">
        <x:v>128</x:v>
      </x:c>
      <x:c r="B132" s="28" t="str">
        <x:f>"CS00010"</x:f>
        <x:v>CS00010</x:v>
      </x:c>
      <x:c r="C132" s="22" t="str">
        <x:v>CLORETO DE SODIO 0,9% 500ML - CX/30 (BOLSA) BAXTER</x:v>
      </x:c>
      <x:c r="D132" s="22" t="str">
        <x:v>CLORETO SODIO % BAXTER</x:v>
      </x:c>
      <x:c r="E132" s="22" t="str">
        <x:v>CLORETO SODIO BAXTER</x:v>
      </x:c>
      <x:c r="F132" s="22" t="str">
        <x:v>500ML</x:v>
      </x:c>
      <x:c r="G132" s="22" t="str"/>
      <x:c r="H132" s="22" t="str">
        <x:v>CX/30 | BOLSA | CX | CONTEUDO30 | FATOR30</x:v>
      </x:c>
      <x:c r="I132" s="22" t="str">
        <x:v>CAIXA</x:v>
      </x:c>
      <x:c r="J132" s="22" t="str">
        <x:v>FRESENIUS</x:v>
      </x:c>
      <x:c r="K132" s="28" t="str">
        <x:f>"GTIN: 7896727801319"</x:f>
        <x:v>GTIN: 7896727801319</x:v>
      </x:c>
      <x:c r="L132" s="28" t="str">
        <x:f>"28470000"</x:f>
        <x:v>28470000</x:v>
      </x:c>
      <x:c r="M132" s="22" t="str">
        <x:v>UN</x:v>
      </x:c>
      <x:c r="N132" s="22" t="str">
        <x:v>CX</x:v>
      </x:c>
      <x:c r="O132" s="22" t="n">
        <x:v>30</x:v>
      </x:c>
      <x:c r="P132" s="28" t="str">
        <x:f>"211 | 212 | 213 | 214 | 215 | 216 | 217 | 218 | 219 | 220 | 221 | 222 | 223 | 224"</x:f>
        <x:v>211 | 212 | 213 | 214 | 215 | 216 | 217 | 218 | 219 | 220 | 221 | 222 | 223 | 224</x:v>
      </x:c>
      <x:c r="Q132" s="28" t="str">
        <x:f>"CS00010 | CS00108 | CS00109 | CS00111 | CS00100 | CS00102 | CS00104 | CS00112 | CS00115 | CS00105 | CS00103 | CS00101 | CS00098 | CS00110"</x:f>
        <x:v>CS00010 | CS00108 | CS00109 | CS00111 | CS00100 | CS00102 | CS00104 | CS00112 | CS00115 | CS00105 | CS00103 | CS00101 | CS00098 | CS00110</x:v>
      </x:c>
    </x:row>
    <x:row r="133">
      <x:c r="A133" s="22" t="n">
        <x:v>129</x:v>
      </x:c>
      <x:c r="B133" s="28" t="str">
        <x:f>"CS00006"</x:f>
        <x:v>CS00006</x:v>
      </x:c>
      <x:c r="C133" s="22" t="str">
        <x:v>CLORETO DE SODIO 0,9% 500ML - CX/50 - ACULIFE</x:v>
      </x:c>
      <x:c r="D133" s="22" t="str">
        <x:v>CLORETO SODIO %</x:v>
      </x:c>
      <x:c r="E133" s="22" t="str">
        <x:v>CLORETO SODIO</x:v>
      </x:c>
      <x:c r="F133" s="22" t="str">
        <x:v>500ML</x:v>
      </x:c>
      <x:c r="G133" s="22" t="str"/>
      <x:c r="H133" s="22" t="str">
        <x:v>CX/50 | CX | CONTEUDO50 | FATOR50</x:v>
      </x:c>
      <x:c r="I133" s="22" t="str">
        <x:v>CAIXA</x:v>
      </x:c>
      <x:c r="J133" s="22" t="str">
        <x:v>ACULIFE</x:v>
      </x:c>
      <x:c r="K133" s="28" t="str"/>
      <x:c r="L133" s="28" t="str">
        <x:f>"28470000"</x:f>
        <x:v>28470000</x:v>
      </x:c>
      <x:c r="M133" s="22" t="str">
        <x:v>UN</x:v>
      </x:c>
      <x:c r="N133" s="22" t="str">
        <x:v>CX</x:v>
      </x:c>
      <x:c r="O133" s="22" t="n">
        <x:v>50</x:v>
      </x:c>
      <x:c r="P133" s="28" t="str">
        <x:f>"225"</x:f>
        <x:v>225</x:v>
      </x:c>
      <x:c r="Q133" s="28" t="str">
        <x:f>"CS00006"</x:f>
        <x:v>CS00006</x:v>
      </x:c>
    </x:row>
    <x:row r="134">
      <x:c r="A134" s="22" t="n">
        <x:v>130</x:v>
      </x:c>
      <x:c r="B134" s="28" t="str">
        <x:f>"CS00007"</x:f>
        <x:v>CS00007</x:v>
      </x:c>
      <x:c r="C134" s="22" t="str">
        <x:v>CLORETO DE SODIO 0,9% 500ML - CX/50 - FRESENIUS</x:v>
      </x:c>
      <x:c r="D134" s="22" t="str">
        <x:v>CLORETO SODIO %</x:v>
      </x:c>
      <x:c r="E134" s="22" t="str">
        <x:v>CLORETO SODIO</x:v>
      </x:c>
      <x:c r="F134" s="22" t="str">
        <x:v>500ML</x:v>
      </x:c>
      <x:c r="G134" s="22" t="str"/>
      <x:c r="H134" s="22" t="str">
        <x:v>CX/50 | CX | CONTEUDO50 | FATOR50</x:v>
      </x:c>
      <x:c r="I134" s="22" t="str">
        <x:v>CAIXA</x:v>
      </x:c>
      <x:c r="J134" s="22" t="str">
        <x:v>FRESENIUS</x:v>
      </x:c>
      <x:c r="K134" s="28" t="str">
        <x:f>"GTIN: 7898179363896"</x:f>
        <x:v>GTIN: 7898179363896</x:v>
      </x:c>
      <x:c r="L134" s="28" t="str">
        <x:f>"28470000"</x:f>
        <x:v>28470000</x:v>
      </x:c>
      <x:c r="M134" s="22" t="str">
        <x:v>UN</x:v>
      </x:c>
      <x:c r="N134" s="22" t="str">
        <x:v>CX</x:v>
      </x:c>
      <x:c r="O134" s="22" t="n">
        <x:v>50</x:v>
      </x:c>
      <x:c r="P134" s="28" t="str">
        <x:f>"231"</x:f>
        <x:v>231</x:v>
      </x:c>
      <x:c r="Q134" s="28" t="str">
        <x:f>"CS00007"</x:f>
        <x:v>CS00007</x:v>
      </x:c>
    </x:row>
    <x:row r="135">
      <x:c r="A135" s="22" t="n">
        <x:v>131</x:v>
      </x:c>
      <x:c r="B135" s="28" t="str">
        <x:f>"CS10027"</x:f>
        <x:v>CS10027</x:v>
      </x:c>
      <x:c r="C135" s="22" t="str">
        <x:v>CLORETO DE SUXAMETÔNIO 100MG - CX/1 - UNIAO QUIMICA</x:v>
      </x:c>
      <x:c r="D135" s="22" t="str">
        <x:v>CLORETO SUXAMETONIO</x:v>
      </x:c>
      <x:c r="E135" s="22" t="str">
        <x:v>CLORETO SUXAMETONIO</x:v>
      </x:c>
      <x:c r="F135" s="22" t="str">
        <x:v>100MG</x:v>
      </x:c>
      <x:c r="G135" s="22" t="str"/>
      <x:c r="H135" s="22" t="str">
        <x:v>CX/1 | UND</x:v>
      </x:c>
      <x:c r="I135" s="22" t="str">
        <x:v>UNIDADE</x:v>
      </x:c>
      <x:c r="J135" s="22" t="str">
        <x:v>UNIAO QUIMICA</x:v>
      </x:c>
      <x:c r="K135" s="28" t="str"/>
      <x:c r="L135" s="28" t="str">
        <x:f>"30049069"</x:f>
        <x:v>30049069</x:v>
      </x:c>
      <x:c r="M135" s="22" t="str">
        <x:v>UND</x:v>
      </x:c>
      <x:c r="N135" s="22" t="str">
        <x:v>UND</x:v>
      </x:c>
      <x:c r="O135" s="22" t="n">
        <x:v>1</x:v>
      </x:c>
      <x:c r="P135" s="28" t="str">
        <x:f>"232 | 233 | 234 | 235 | 236 | 237 | 238 | 239"</x:f>
        <x:v>232 | 233 | 234 | 235 | 236 | 237 | 238 | 239</x:v>
      </x:c>
      <x:c r="Q135" s="28" t="str">
        <x:f>"CS10027 | CS10029 | CS10012 | CS10015 | CS10020 | CS10022 | CS10036 | CS10028"</x:f>
        <x:v>CS10027 | CS10029 | CS10012 | CS10015 | CS10020 | CS10022 | CS10036 | CS10028</x:v>
      </x:c>
    </x:row>
    <x:row r="136">
      <x:c r="A136" s="22" t="n">
        <x:v>132</x:v>
      </x:c>
      <x:c r="B136" s="28" t="str">
        <x:f>"CS10035"</x:f>
        <x:v>CS10035</x:v>
      </x:c>
      <x:c r="C136" s="22" t="str">
        <x:v>CLORETO DE SUXAMETÔNIO 100MG - CX/10 - BLAU</x:v>
      </x:c>
      <x:c r="D136" s="22" t="str">
        <x:v>CLORETO SUXAMETONIO</x:v>
      </x:c>
      <x:c r="E136" s="22" t="str">
        <x:v>CLORETO SUXAMETONIO</x:v>
      </x:c>
      <x:c r="F136" s="22" t="str">
        <x:v>100MG</x:v>
      </x:c>
      <x:c r="G136" s="22" t="str"/>
      <x:c r="H136" s="22" t="str">
        <x:v>CX/10 | CX | CONTEUDO10 | FATOR10</x:v>
      </x:c>
      <x:c r="I136" s="22" t="str">
        <x:v>CAIXA</x:v>
      </x:c>
      <x:c r="J136" s="22" t="str">
        <x:v>BLAU</x:v>
      </x:c>
      <x:c r="K136" s="28" t="str">
        <x:f>"GTIN: 7896014682287"</x:f>
        <x:v>GTIN: 7896014682287</x:v>
      </x:c>
      <x:c r="L136" s="28" t="str">
        <x:f>"30049069"</x:f>
        <x:v>30049069</x:v>
      </x:c>
      <x:c r="M136" s="22" t="str">
        <x:v>UN</x:v>
      </x:c>
      <x:c r="N136" s="22" t="str">
        <x:v>CX</x:v>
      </x:c>
      <x:c r="O136" s="22" t="n">
        <x:v>10</x:v>
      </x:c>
      <x:c r="P136" s="28" t="str">
        <x:f>"240 | 241 | 242 | 243 | 244"</x:f>
        <x:v>240 | 241 | 242 | 243 | 244</x:v>
      </x:c>
      <x:c r="Q136" s="28" t="str">
        <x:f>"CS10011 | CS10006 | CS10009 | CS10017 | CS10035"</x:f>
        <x:v>CS10011 | CS10006 | CS10009 | CS10017 | CS10035</x:v>
      </x:c>
    </x:row>
    <x:row r="137">
      <x:c r="A137" s="22" t="n">
        <x:v>133</x:v>
      </x:c>
      <x:c r="B137" s="28" t="str">
        <x:f>"13384"</x:f>
        <x:v>13384</x:v>
      </x:c>
      <x:c r="C137" s="22" t="str">
        <x:v>CLOREXIDINA DEGERMANTE 2% 1000ML - CX/12 - VIC PHARMA</x:v>
      </x:c>
      <x:c r="D137" s="22" t="str">
        <x:v>CLOREXIDINA DEGERMANTE %</x:v>
      </x:c>
      <x:c r="E137" s="22" t="str">
        <x:v>CLOREXIDINA DEGERMANTE</x:v>
      </x:c>
      <x:c r="F137" s="22" t="str">
        <x:v>1000ML</x:v>
      </x:c>
      <x:c r="G137" s="22" t="str"/>
      <x:c r="H137" s="22" t="str">
        <x:v>CX/12 | CX | CONTEUDO12 | FATOR12</x:v>
      </x:c>
      <x:c r="I137" s="22" t="str">
        <x:v>CAIXA</x:v>
      </x:c>
      <x:c r="J137" s="22" t="str">
        <x:v>VIC PHARMA</x:v>
      </x:c>
      <x:c r="K137" s="28" t="str">
        <x:f>"GTIN: 7897877708756"</x:f>
        <x:v>GTIN: 7897877708756</x:v>
      </x:c>
      <x:c r="L137" s="28" t="str">
        <x:f>"30039099"</x:f>
        <x:v>30039099</x:v>
      </x:c>
      <x:c r="M137" s="22" t="str">
        <x:v>UN</x:v>
      </x:c>
      <x:c r="N137" s="22" t="str">
        <x:v>CX</x:v>
      </x:c>
      <x:c r="O137" s="22" t="n">
        <x:v>12</x:v>
      </x:c>
      <x:c r="P137" s="28" t="str">
        <x:f>"245"</x:f>
        <x:v>245</x:v>
      </x:c>
      <x:c r="Q137" s="28" t="str">
        <x:f>"13384"</x:f>
        <x:v>13384</x:v>
      </x:c>
    </x:row>
    <x:row r="138">
      <x:c r="A138" s="22" t="n">
        <x:v>134</x:v>
      </x:c>
      <x:c r="B138" s="28" t="str">
        <x:f>"CA50007"</x:f>
        <x:v>CA50007</x:v>
      </x:c>
      <x:c r="C138" s="22" t="str">
        <x:v>CLORIDRATO DE AMIODARONA 50MG/ML - CX/100 - HIPOLABOR</x:v>
      </x:c>
      <x:c r="D138" s="22" t="str">
        <x:v>CLORIDRATO AMIODARONA</x:v>
      </x:c>
      <x:c r="E138" s="22" t="str">
        <x:v>CLORIDRATO AMIODARONA</x:v>
      </x:c>
      <x:c r="F138" s="22" t="str">
        <x:v>50MG/ML | 50MG</x:v>
      </x:c>
      <x:c r="G138" s="22" t="str"/>
      <x:c r="H138" s="22" t="str">
        <x:v>CX/100 | CX | CONTEUDO100 | FATOR100</x:v>
      </x:c>
      <x:c r="I138" s="22" t="str">
        <x:v>CAIXA</x:v>
      </x:c>
      <x:c r="J138" s="22" t="str">
        <x:v>HIPOLABOR</x:v>
      </x:c>
      <x:c r="K138" s="28" t="str">
        <x:f>"GTIN: 7898123907749"</x:f>
        <x:v>GTIN: 7898123907749</x:v>
      </x:c>
      <x:c r="L138" s="28" t="str">
        <x:f>"30049054"</x:f>
        <x:v>30049054</x:v>
      </x:c>
      <x:c r="M138" s="22" t="str">
        <x:v>UN</x:v>
      </x:c>
      <x:c r="N138" s="22" t="str">
        <x:v>CX</x:v>
      </x:c>
      <x:c r="O138" s="22" t="n">
        <x:v>100</x:v>
      </x:c>
      <x:c r="P138" s="28" t="str">
        <x:f>"246 | 247"</x:f>
        <x:v>246 | 247</x:v>
      </x:c>
      <x:c r="Q138" s="28" t="str">
        <x:f>"CA50007 | CA50006"</x:f>
        <x:v>CA50007 | CA50006</x:v>
      </x:c>
    </x:row>
    <x:row r="139">
      <x:c r="A139" s="22" t="n">
        <x:v>135</x:v>
      </x:c>
      <x:c r="B139" s="28" t="str">
        <x:f>"CA50001"</x:f>
        <x:v>CA50001</x:v>
      </x:c>
      <x:c r="C139" s="22" t="str">
        <x:v>CLORIDRATO DE AMIODARONA 50MG/ML 3ML FR - CX/50 - FRESENIUS</x:v>
      </x:c>
      <x:c r="D139" s="22" t="str">
        <x:v>CLORIDRATO AMIODARONA</x:v>
      </x:c>
      <x:c r="E139" s="22" t="str">
        <x:v>CLORIDRATO AMIODARONA</x:v>
      </x:c>
      <x:c r="F139" s="22" t="str">
        <x:v>50MG/ML | 50MG | 3ML</x:v>
      </x:c>
      <x:c r="G139" s="22" t="str"/>
      <x:c r="H139" s="22" t="str">
        <x:v>FR | CX/50 | CX | CONTEUDO50 | FATOR50</x:v>
      </x:c>
      <x:c r="I139" s="22" t="str">
        <x:v>CAIXA</x:v>
      </x:c>
      <x:c r="J139" s="22" t="str">
        <x:v>FRESENIUS</x:v>
      </x:c>
      <x:c r="K139" s="28" t="str">
        <x:f>"GTIN: 7898123907749"</x:f>
        <x:v>GTIN: 7898123907749</x:v>
      </x:c>
      <x:c r="L139" s="28" t="str">
        <x:f>"30049054"</x:f>
        <x:v>30049054</x:v>
      </x:c>
      <x:c r="M139" s="22" t="str">
        <x:v>UN</x:v>
      </x:c>
      <x:c r="N139" s="22" t="str">
        <x:v>CX</x:v>
      </x:c>
      <x:c r="O139" s="22" t="n">
        <x:v>50</x:v>
      </x:c>
      <x:c r="P139" s="28" t="str">
        <x:f>"248"</x:f>
        <x:v>248</x:v>
      </x:c>
      <x:c r="Q139" s="28" t="str">
        <x:f>"CA50001"</x:f>
        <x:v>CA50001</x:v>
      </x:c>
    </x:row>
    <x:row r="140">
      <x:c r="A140" s="22" t="n">
        <x:v>136</x:v>
      </x:c>
      <x:c r="B140" s="28" t="str">
        <x:f>"CB+0003"</x:f>
        <x:v>CB+0003</x:v>
      </x:c>
      <x:c r="C140" s="22" t="str">
        <x:v>CLORIDRATO DE BUPIVACAINA 0,5% 5MG/ML 20ML C/ EPINEFRINA - CX/10 - CRISTALIA</x:v>
      </x:c>
      <x:c r="D140" s="22" t="str">
        <x:v>CLORIDRATO BUPIVACAINA % EPINEFRINA</x:v>
      </x:c>
      <x:c r="E140" s="22" t="str">
        <x:v>CLORIDRATO BUPIVACAINA EPINEFRINA</x:v>
      </x:c>
      <x:c r="F140" s="22" t="str">
        <x:v>5MG/ML | 5MG | 20ML</x:v>
      </x:c>
      <x:c r="G140" s="22" t="str"/>
      <x:c r="H140" s="22" t="str">
        <x:v>CX/10 | CX | CONTEUDO10 | FATOR10</x:v>
      </x:c>
      <x:c r="I140" s="22" t="str">
        <x:v>CAIXA</x:v>
      </x:c>
      <x:c r="J140" s="22" t="str">
        <x:v>CRISTÁLIA</x:v>
      </x:c>
      <x:c r="K140" s="28" t="str">
        <x:f>"GTIN: 7896676400519"</x:f>
        <x:v>GTIN: 7896676400519</x:v>
      </x:c>
      <x:c r="L140" s="28" t="str">
        <x:f>"29333983"</x:f>
        <x:v>29333983</x:v>
      </x:c>
      <x:c r="M140" s="22" t="str">
        <x:v>UN</x:v>
      </x:c>
      <x:c r="N140" s="22" t="str">
        <x:v>CX</x:v>
      </x:c>
      <x:c r="O140" s="22" t="n">
        <x:v>10</x:v>
      </x:c>
      <x:c r="P140" s="28" t="str">
        <x:f>"249"</x:f>
        <x:v>249</x:v>
      </x:c>
      <x:c r="Q140" s="28" t="str">
        <x:f>"CB+0003"</x:f>
        <x:v>CB+0003</x:v>
      </x:c>
    </x:row>
    <x:row r="141">
      <x:c r="A141" s="22" t="n">
        <x:v>137</x:v>
      </x:c>
      <x:c r="B141" s="28" t="str">
        <x:f>"CB50005"</x:f>
        <x:v>CB50005</x:v>
      </x:c>
      <x:c r="C141" s="22" t="str">
        <x:v>CLORIDRATO DE BUPIVACAINA 5MG/ML + GLICOSE 80MG/ML 4ML - CX/100 - HIPOLABOR</x:v>
      </x:c>
      <x:c r="D141" s="22" t="str">
        <x:v>CLORIDRATO BUPIVACAINA + GLICOSE</x:v>
      </x:c>
      <x:c r="E141" s="22" t="str">
        <x:v>CLORIDRATO BUPIVACAINA GLICOSE</x:v>
      </x:c>
      <x:c r="F141" s="22" t="str">
        <x:v>5MG/ML | 80MG/ML | 5MG | 80MG | 4ML</x:v>
      </x:c>
      <x:c r="G141" s="22" t="str"/>
      <x:c r="H141" s="22" t="str">
        <x:v>CX/100 | CX | CONTEUDO100 | FATOR100</x:v>
      </x:c>
      <x:c r="I141" s="22" t="str">
        <x:v>CAIXA</x:v>
      </x:c>
      <x:c r="J141" s="22" t="str">
        <x:v>HIPOLABOR</x:v>
      </x:c>
      <x:c r="K141" s="28" t="str">
        <x:f>"GTIN: 7898123908982"</x:f>
        <x:v>GTIN: 7898123908982</x:v>
      </x:c>
      <x:c r="L141" s="28" t="str">
        <x:f>"29333983"</x:f>
        <x:v>29333983</x:v>
      </x:c>
      <x:c r="M141" s="22" t="str">
        <x:v>UN</x:v>
      </x:c>
      <x:c r="N141" s="22" t="str">
        <x:v>CX</x:v>
      </x:c>
      <x:c r="O141" s="22" t="n">
        <x:v>100</x:v>
      </x:c>
      <x:c r="P141" s="28" t="str">
        <x:f>"250 | 251"</x:f>
        <x:v>250 | 251</x:v>
      </x:c>
      <x:c r="Q141" s="28" t="str">
        <x:f>"CB50004 | CB50005"</x:f>
        <x:v>CB50004 | CB50005</x:v>
      </x:c>
    </x:row>
    <x:row r="142">
      <x:c r="A142" s="22" t="n">
        <x:v>138</x:v>
      </x:c>
      <x:c r="B142" s="28" t="str">
        <x:f>"CB50003"</x:f>
        <x:v>CB50003</x:v>
      </x:c>
      <x:c r="C142" s="22" t="str">
        <x:v>CLORIDRATO DE BUPIVACAINA 5MG/ML 20ML - CX/25 - HIPOLABOR</x:v>
      </x:c>
      <x:c r="D142" s="22" t="str">
        <x:v>CLORIDRATO BUPIVACAINA</x:v>
      </x:c>
      <x:c r="E142" s="22" t="str">
        <x:v>CLORIDRATO BUPIVACAINA</x:v>
      </x:c>
      <x:c r="F142" s="22" t="str">
        <x:v>5MG/ML | 5MG | 20ML</x:v>
      </x:c>
      <x:c r="G142" s="22" t="str"/>
      <x:c r="H142" s="22" t="str">
        <x:v>CX/25 | CX | CONTEUDO25 | FATOR25</x:v>
      </x:c>
      <x:c r="I142" s="22" t="str">
        <x:v>CAIXA</x:v>
      </x:c>
      <x:c r="J142" s="22" t="str">
        <x:v>HIPOLABOR</x:v>
      </x:c>
      <x:c r="K142" s="28" t="str">
        <x:f>"GTIN: 7898123908982"</x:f>
        <x:v>GTIN: 7898123908982</x:v>
      </x:c>
      <x:c r="L142" s="28" t="str">
        <x:f>"29333983"</x:f>
        <x:v>29333983</x:v>
      </x:c>
      <x:c r="M142" s="22" t="str">
        <x:v>UN</x:v>
      </x:c>
      <x:c r="N142" s="22" t="str">
        <x:v>CX</x:v>
      </x:c>
      <x:c r="O142" s="22" t="n">
        <x:v>25</x:v>
      </x:c>
      <x:c r="P142" s="28" t="str">
        <x:f>"252"</x:f>
        <x:v>252</x:v>
      </x:c>
      <x:c r="Q142" s="28" t="str">
        <x:f>"CB50003"</x:f>
        <x:v>CB50003</x:v>
      </x:c>
    </x:row>
    <x:row r="143">
      <x:c r="A143" s="22" t="n">
        <x:v>139</x:v>
      </x:c>
      <x:c r="B143" s="28" t="str">
        <x:f>"CB50002"</x:f>
        <x:v>CB50002</x:v>
      </x:c>
      <x:c r="C143" s="22" t="str">
        <x:v>CLORIDRATO DE BUPIVACAINA 5MG/ML 20ML - CX/25 - HYPOFARMA</x:v>
      </x:c>
      <x:c r="D143" s="22" t="str">
        <x:v>CLORIDRATO BUPIVACAINA</x:v>
      </x:c>
      <x:c r="E143" s="22" t="str">
        <x:v>CLORIDRATO BUPIVACAINA</x:v>
      </x:c>
      <x:c r="F143" s="22" t="str">
        <x:v>5MG/ML | 5MG | 20ML</x:v>
      </x:c>
      <x:c r="G143" s="22" t="str"/>
      <x:c r="H143" s="22" t="str">
        <x:v>CX/25 | CX | CONTEUDO25 | FATOR25</x:v>
      </x:c>
      <x:c r="I143" s="22" t="str">
        <x:v>CAIXA</x:v>
      </x:c>
      <x:c r="J143" s="22" t="str">
        <x:v>HYPOFARMA</x:v>
      </x:c>
      <x:c r="K143" s="28" t="str">
        <x:f>"GTIN: 7898123908982"</x:f>
        <x:v>GTIN: 7898123908982</x:v>
      </x:c>
      <x:c r="L143" s="28" t="str">
        <x:f>"29333983"</x:f>
        <x:v>29333983</x:v>
      </x:c>
      <x:c r="M143" s="22" t="str">
        <x:v>UN</x:v>
      </x:c>
      <x:c r="N143" s="22" t="str">
        <x:v>CX</x:v>
      </x:c>
      <x:c r="O143" s="22" t="n">
        <x:v>25</x:v>
      </x:c>
      <x:c r="P143" s="28" t="str">
        <x:f>"253"</x:f>
        <x:v>253</x:v>
      </x:c>
      <x:c r="Q143" s="28" t="str">
        <x:f>"CB50002"</x:f>
        <x:v>CB50002</x:v>
      </x:c>
    </x:row>
    <x:row r="144">
      <x:c r="A144" s="22" t="n">
        <x:v>140</x:v>
      </x:c>
      <x:c r="B144" s="28" t="str">
        <x:f>"CC10002"</x:f>
        <x:v>CC10002</x:v>
      </x:c>
      <x:c r="C144" s="22" t="str">
        <x:v>CLORIDRATO DE CEFEPIMA 1G - CX/50 - EUGIA</x:v>
      </x:c>
      <x:c r="D144" s="22" t="str">
        <x:v>CLORIDRATO CEFEPIMA</x:v>
      </x:c>
      <x:c r="E144" s="22" t="str">
        <x:v>CLORIDRATO CEFEPIMA</x:v>
      </x:c>
      <x:c r="F144" s="22" t="str">
        <x:v>1G</x:v>
      </x:c>
      <x:c r="G144" s="22" t="str">
        <x:v>1G</x:v>
      </x:c>
      <x:c r="H144" s="22" t="str">
        <x:v>CX/50 | CX | CONTEUDO50 | FATOR50</x:v>
      </x:c>
      <x:c r="I144" s="22" t="str">
        <x:v>CAIXA</x:v>
      </x:c>
      <x:c r="J144" s="22" t="str">
        <x:v>EUGIA</x:v>
      </x:c>
      <x:c r="K144" s="28" t="str">
        <x:f>"GTIN: 7896112196129"</x:f>
        <x:v>GTIN: 7896112196129</x:v>
      </x:c>
      <x:c r="L144" s="28" t="str">
        <x:f>"30042059"</x:f>
        <x:v>30042059</x:v>
      </x:c>
      <x:c r="M144" s="22" t="str">
        <x:v>UN</x:v>
      </x:c>
      <x:c r="N144" s="22" t="str">
        <x:v>CX</x:v>
      </x:c>
      <x:c r="O144" s="22" t="n">
        <x:v>50</x:v>
      </x:c>
      <x:c r="P144" s="28" t="str">
        <x:f>"254"</x:f>
        <x:v>254</x:v>
      </x:c>
      <x:c r="Q144" s="28" t="str">
        <x:f>"CC10002"</x:f>
        <x:v>CC10002</x:v>
      </x:c>
    </x:row>
    <x:row r="145">
      <x:c r="A145" s="22" t="n">
        <x:v>141</x:v>
      </x:c>
      <x:c r="B145" s="28" t="str">
        <x:f>"CC10018"</x:f>
        <x:v>CC10018</x:v>
      </x:c>
      <x:c r="C145" s="22" t="str">
        <x:v>CLORIDRATO DE CEFEPIMA 1G - CX/50 - TEUTO</x:v>
      </x:c>
      <x:c r="D145" s="22" t="str">
        <x:v>CLORIDRATO CEFEPIMA</x:v>
      </x:c>
      <x:c r="E145" s="22" t="str">
        <x:v>CLORIDRATO CEFEPIMA</x:v>
      </x:c>
      <x:c r="F145" s="22" t="str">
        <x:v>1G</x:v>
      </x:c>
      <x:c r="G145" s="22" t="str">
        <x:v>1G</x:v>
      </x:c>
      <x:c r="H145" s="22" t="str">
        <x:v>CX/50 | CX | CONTEUDO50 | FATOR50</x:v>
      </x:c>
      <x:c r="I145" s="22" t="str">
        <x:v>CAIXA</x:v>
      </x:c>
      <x:c r="J145" s="22" t="str">
        <x:v>TEUTO</x:v>
      </x:c>
      <x:c r="K145" s="28" t="str">
        <x:f>"GTIN: 7896112196129"</x:f>
        <x:v>GTIN: 7896112196129</x:v>
      </x:c>
      <x:c r="L145" s="28" t="str">
        <x:f>"30042059"</x:f>
        <x:v>30042059</x:v>
      </x:c>
      <x:c r="M145" s="22" t="str">
        <x:v>UN</x:v>
      </x:c>
      <x:c r="N145" s="22" t="str">
        <x:v>CX</x:v>
      </x:c>
      <x:c r="O145" s="22" t="n">
        <x:v>50</x:v>
      </x:c>
      <x:c r="P145" s="28" t="str">
        <x:f>"255 | 256 | 257 | 258"</x:f>
        <x:v>255 | 256 | 257 | 258</x:v>
      </x:c>
      <x:c r="Q145" s="28" t="str">
        <x:f>"CC10001 | CC10015 | CC10017 | CC10018"</x:f>
        <x:v>CC10001 | CC10015 | CC10017 | CC10018</x:v>
      </x:c>
    </x:row>
    <x:row r="146">
      <x:c r="A146" s="22" t="n">
        <x:v>142</x:v>
      </x:c>
      <x:c r="B146" s="28" t="str">
        <x:f>"CD(0014"</x:f>
        <x:v>CD(0014</x:v>
      </x:c>
      <x:c r="C146" s="22" t="str">
        <x:v>CLORIDRATO DE DEXMEDETOMIDINA (PRECEDEX) 100MCG/2ML - CX/05 - VOLPHARMA</x:v>
      </x:c>
      <x:c r="D146" s="22" t="str">
        <x:v>CLORIDRATO DEXMEDETOMIDINA</x:v>
      </x:c>
      <x:c r="E146" s="22" t="str">
        <x:v>CLORIDRATO DEXMEDETOMIDINA</x:v>
      </x:c>
      <x:c r="F146" s="22" t="str">
        <x:v>100MCG/2ML | 100MCG | 2ML</x:v>
      </x:c>
      <x:c r="G146" s="22" t="str"/>
      <x:c r="H146" s="22" t="str">
        <x:v>CX/05 | CX5</x:v>
      </x:c>
      <x:c r="I146" s="22" t="str">
        <x:v>CAIXA</x:v>
      </x:c>
      <x:c r="J146" s="22" t="str">
        <x:v>VOLPHARMA</x:v>
      </x:c>
      <x:c r="K146" s="28" t="str">
        <x:f>"GTIN: 7898958337049"</x:f>
        <x:v>GTIN: 7898958337049</x:v>
      </x:c>
      <x:c r="L146" s="28" t="str">
        <x:f>"30049069"</x:f>
        <x:v>30049069</x:v>
      </x:c>
      <x:c r="M146" s="22" t="str">
        <x:v>CX5</x:v>
      </x:c>
      <x:c r="N146" s="22" t="str">
        <x:v>CX5</x:v>
      </x:c>
      <x:c r="O146" s="22" t="n">
        <x:v>1</x:v>
      </x:c>
      <x:c r="P146" s="28" t="str">
        <x:f>"259 | 260"</x:f>
        <x:v>259 | 260</x:v>
      </x:c>
      <x:c r="Q146" s="28" t="str">
        <x:f>"CD(0013 | CD(0014"</x:f>
        <x:v>CD(0013 | CD(0014</x:v>
      </x:c>
    </x:row>
    <x:row r="147">
      <x:c r="A147" s="22" t="n">
        <x:v>143</x:v>
      </x:c>
      <x:c r="B147" s="28" t="str">
        <x:f>"CD10014"</x:f>
        <x:v>CD10014</x:v>
      </x:c>
      <x:c r="C147" s="22" t="str">
        <x:v>CLORIDRATO DE DEXMEDETOMIDINA 100MCG/2ML - CX/5 - CRISTÁLIA (PRECEDEX)</x:v>
      </x:c>
      <x:c r="D147" s="22" t="str">
        <x:v>CLORIDRATO DEXMEDETOMIDINA</x:v>
      </x:c>
      <x:c r="E147" s="22" t="str">
        <x:v>CLORIDRATO DEXMEDETOMIDINA</x:v>
      </x:c>
      <x:c r="F147" s="22" t="str">
        <x:v>100MCG/2ML | 100MCG | 2ML</x:v>
      </x:c>
      <x:c r="G147" s="22" t="str"/>
      <x:c r="H147" s="22" t="str">
        <x:v>CX/5 | CX | CONTEUDO5 | FATOR5</x:v>
      </x:c>
      <x:c r="I147" s="22" t="str">
        <x:v>CAIXA</x:v>
      </x:c>
      <x:c r="J147" s="22" t="str">
        <x:v>CRISTÁLIA</x:v>
      </x:c>
      <x:c r="K147" s="28" t="str">
        <x:f>"GTIN: 7896676435054"</x:f>
        <x:v>GTIN: 7896676435054</x:v>
      </x:c>
      <x:c r="L147" s="28" t="str">
        <x:f>"30049069"</x:f>
        <x:v>30049069</x:v>
      </x:c>
      <x:c r="M147" s="22" t="str">
        <x:v>UN</x:v>
      </x:c>
      <x:c r="N147" s="22" t="str">
        <x:v>CX</x:v>
      </x:c>
      <x:c r="O147" s="22" t="n">
        <x:v>5</x:v>
      </x:c>
      <x:c r="P147" s="28" t="str">
        <x:f>"261"</x:f>
        <x:v>261</x:v>
      </x:c>
      <x:c r="Q147" s="28" t="str">
        <x:f>"CD10014"</x:f>
        <x:v>CD10014</x:v>
      </x:c>
    </x:row>
    <x:row r="148">
      <x:c r="A148" s="22" t="n">
        <x:v>144</x:v>
      </x:c>
      <x:c r="B148" s="28" t="str">
        <x:f>"CD(0010"</x:f>
        <x:v>CD(0010</x:v>
      </x:c>
      <x:c r="C148" s="22" t="str">
        <x:v>CLORIDRATO DE DEXMEDETOMIDINA 100MCG/2ML - CX/5 - VOLPHARMA (PRECEDEX)</x:v>
      </x:c>
      <x:c r="D148" s="22" t="str">
        <x:v>CLORIDRATO DEXMEDETOMIDINA</x:v>
      </x:c>
      <x:c r="E148" s="22" t="str">
        <x:v>CLORIDRATO DEXMEDETOMIDINA</x:v>
      </x:c>
      <x:c r="F148" s="22" t="str">
        <x:v>100MCG/2ML | 100MCG | 2ML</x:v>
      </x:c>
      <x:c r="G148" s="22" t="str"/>
      <x:c r="H148" s="22" t="str">
        <x:v>CX/5 | CX5</x:v>
      </x:c>
      <x:c r="I148" s="22" t="str">
        <x:v>CAIXA</x:v>
      </x:c>
      <x:c r="J148" s="22" t="str">
        <x:v>VOLPHARMA</x:v>
      </x:c>
      <x:c r="K148" s="28" t="str">
        <x:f>"GTIN: 7898958337049"</x:f>
        <x:v>GTIN: 7898958337049</x:v>
      </x:c>
      <x:c r="L148" s="28" t="str">
        <x:f>"30049069"</x:f>
        <x:v>30049069</x:v>
      </x:c>
      <x:c r="M148" s="22" t="str">
        <x:v>CX5</x:v>
      </x:c>
      <x:c r="N148" s="22" t="str">
        <x:v>CX5</x:v>
      </x:c>
      <x:c r="O148" s="22" t="n">
        <x:v>1</x:v>
      </x:c>
      <x:c r="P148" s="28" t="str">
        <x:f>"262"</x:f>
        <x:v>262</x:v>
      </x:c>
      <x:c r="Q148" s="28" t="str">
        <x:f>"CD(0010"</x:f>
        <x:v>CD(0010</x:v>
      </x:c>
    </x:row>
    <x:row r="149">
      <x:c r="A149" s="22" t="n">
        <x:v>145</x:v>
      </x:c>
      <x:c r="B149" s="28" t="str">
        <x:f>"CD20001"</x:f>
        <x:v>CD20001</x:v>
      </x:c>
      <x:c r="C149" s="22" t="str">
        <x:v>CLORIDRATO DE DOBUTAMINA 250MG/20ML CX/10 - HYPOFARMA</x:v>
      </x:c>
      <x:c r="D149" s="22" t="str">
        <x:v>CLORIDRATO DOBUTAMINA</x:v>
      </x:c>
      <x:c r="E149" s="22" t="str">
        <x:v>CLORIDRATO DOBUTAMINA</x:v>
      </x:c>
      <x:c r="F149" s="22" t="str">
        <x:v>250MG/20ML | 250MG | 20ML</x:v>
      </x:c>
      <x:c r="G149" s="22" t="str"/>
      <x:c r="H149" s="22" t="str">
        <x:v>CX/10 | CX | CONTEUDO10 | FATOR10</x:v>
      </x:c>
      <x:c r="I149" s="22" t="str">
        <x:v>CAIXA</x:v>
      </x:c>
      <x:c r="J149" s="22" t="str">
        <x:v>HYPOFARMA</x:v>
      </x:c>
      <x:c r="K149" s="28" t="str">
        <x:f>"GTIN: 7898123905905"</x:f>
        <x:v>GTIN: 7898123905905</x:v>
      </x:c>
      <x:c r="L149" s="28" t="str">
        <x:f>"30049039"</x:f>
        <x:v>30049039</x:v>
      </x:c>
      <x:c r="M149" s="22" t="str">
        <x:v>UN</x:v>
      </x:c>
      <x:c r="N149" s="22" t="str">
        <x:v>CX</x:v>
      </x:c>
      <x:c r="O149" s="22" t="n">
        <x:v>10</x:v>
      </x:c>
      <x:c r="P149" s="28" t="str">
        <x:f>"263"</x:f>
        <x:v>263</x:v>
      </x:c>
      <x:c r="Q149" s="28" t="str">
        <x:f>"CD20001"</x:f>
        <x:v>CD20001</x:v>
      </x:c>
    </x:row>
    <x:row r="150">
      <x:c r="A150" s="22" t="n">
        <x:v>146</x:v>
      </x:c>
      <x:c r="B150" s="28" t="str">
        <x:f>"CD20002"</x:f>
        <x:v>CD20002</x:v>
      </x:c>
      <x:c r="C150" s="22" t="str">
        <x:v>CLORIDRATO DE DOBUTAMINA 250MG/20ML CX/50 - TEUTO</x:v>
      </x:c>
      <x:c r="D150" s="22" t="str">
        <x:v>CLORIDRATO DOBUTAMINA</x:v>
      </x:c>
      <x:c r="E150" s="22" t="str">
        <x:v>CLORIDRATO DOBUTAMINA</x:v>
      </x:c>
      <x:c r="F150" s="22" t="str">
        <x:v>250MG/20ML | 250MG | 20ML</x:v>
      </x:c>
      <x:c r="G150" s="22" t="str"/>
      <x:c r="H150" s="22" t="str">
        <x:v>CX/50 | CX | CONTEUDO50 | FATOR50</x:v>
      </x:c>
      <x:c r="I150" s="22" t="str">
        <x:v>CAIXA</x:v>
      </x:c>
      <x:c r="J150" s="22" t="str">
        <x:v>TEUTO</x:v>
      </x:c>
      <x:c r="K150" s="28" t="str">
        <x:f>"GTIN: 7898123905905"</x:f>
        <x:v>GTIN: 7898123905905</x:v>
      </x:c>
      <x:c r="L150" s="28" t="str">
        <x:f>"30049039"</x:f>
        <x:v>30049039</x:v>
      </x:c>
      <x:c r="M150" s="22" t="str">
        <x:v>UN</x:v>
      </x:c>
      <x:c r="N150" s="22" t="str">
        <x:v>CX</x:v>
      </x:c>
      <x:c r="O150" s="22" t="n">
        <x:v>50</x:v>
      </x:c>
      <x:c r="P150" s="28" t="str">
        <x:f>"264"</x:f>
        <x:v>264</x:v>
      </x:c>
      <x:c r="Q150" s="28" t="str">
        <x:f>"CD20002"</x:f>
        <x:v>CD20002</x:v>
      </x:c>
    </x:row>
    <x:row r="151">
      <x:c r="A151" s="22" t="n">
        <x:v>147</x:v>
      </x:c>
      <x:c r="B151" s="28" t="str">
        <x:f>"CEK0001"</x:f>
        <x:v>CEK0001</x:v>
      </x:c>
      <x:c r="C151" s="22" t="str">
        <x:v>CLORIDRATO DE ESCETAMINA KETAMIN 50MG/ML AP 10ML CX/25 - CRISTÁLIA</x:v>
      </x:c>
      <x:c r="D151" s="22" t="str">
        <x:v>CLORIDRATO ESCETAMINA KETAMIN</x:v>
      </x:c>
      <x:c r="E151" s="22" t="str">
        <x:v>CLORIDRATO ESCETAMINA KETAMIN</x:v>
      </x:c>
      <x:c r="F151" s="22" t="str">
        <x:v>50MG/ML | 50MG | 10ML</x:v>
      </x:c>
      <x:c r="G151" s="22" t="str"/>
      <x:c r="H151" s="22" t="str">
        <x:v>AP | CX/25 | UN</x:v>
      </x:c>
      <x:c r="I151" s="22" t="str">
        <x:v>UNIDADE</x:v>
      </x:c>
      <x:c r="J151" s="22" t="str">
        <x:v>CRISTÁLIA</x:v>
      </x:c>
      <x:c r="K151" s="28" t="str"/>
      <x:c r="L151" s="28" t="str">
        <x:f>"30049032"</x:f>
        <x:v>30049032</x:v>
      </x:c>
      <x:c r="M151" s="22" t="str">
        <x:v>UN</x:v>
      </x:c>
      <x:c r="N151" s="22" t="str">
        <x:v>UN</x:v>
      </x:c>
      <x:c r="O151" s="22" t="n">
        <x:v>1</x:v>
      </x:c>
      <x:c r="P151" s="28" t="str">
        <x:f>"265 | 266 | 267 | 268 | 269 | 270"</x:f>
        <x:v>265 | 266 | 267 | 268 | 269 | 270</x:v>
      </x:c>
      <x:c r="Q151" s="28" t="str">
        <x:f>"CEK0001 | CEK0008 | CEK0007 | CEK0009 | CEK0004 | CEK0002"</x:f>
        <x:v>CEK0001 | CEK0008 | CEK0007 | CEK0009 | CEK0004 | CEK0002</x:v>
      </x:c>
    </x:row>
    <x:row r="152">
      <x:c r="A152" s="22" t="n">
        <x:v>148</x:v>
      </x:c>
      <x:c r="B152" s="28" t="str">
        <x:f>"CEK0003"</x:f>
        <x:v>CEK0003</x:v>
      </x:c>
      <x:c r="C152" s="22" t="str">
        <x:v>CLORIDRATO DE ESCETAMINA KETAMIN 50MG/ML AP 2ML CX/25 - CRISTÁLIA</x:v>
      </x:c>
      <x:c r="D152" s="22" t="str">
        <x:v>CLORIDRATO ESCETAMINA KETAMIN</x:v>
      </x:c>
      <x:c r="E152" s="22" t="str">
        <x:v>CLORIDRATO ESCETAMINA KETAMIN</x:v>
      </x:c>
      <x:c r="F152" s="22" t="str">
        <x:v>50MG/ML | 50MG | 2ML</x:v>
      </x:c>
      <x:c r="G152" s="22" t="str"/>
      <x:c r="H152" s="22" t="str">
        <x:v>AP | CX/25 | UN</x:v>
      </x:c>
      <x:c r="I152" s="22" t="str">
        <x:v>UNIDADE</x:v>
      </x:c>
      <x:c r="J152" s="22" t="str">
        <x:v>CRISTÁLIA</x:v>
      </x:c>
      <x:c r="K152" s="28" t="str">
        <x:f>"GTIN: 7898404221908"</x:f>
        <x:v>GTIN: 7898404221908</x:v>
      </x:c>
      <x:c r="L152" s="28" t="str">
        <x:f>"30049032"</x:f>
        <x:v>30049032</x:v>
      </x:c>
      <x:c r="M152" s="22" t="str">
        <x:v>UN</x:v>
      </x:c>
      <x:c r="N152" s="22" t="str">
        <x:v>UN</x:v>
      </x:c>
      <x:c r="O152" s="22" t="n">
        <x:v>1</x:v>
      </x:c>
      <x:c r="P152" s="28" t="str">
        <x:f>"271 | 272 | 273"</x:f>
        <x:v>271 | 272 | 273</x:v>
      </x:c>
      <x:c r="Q152" s="28" t="str">
        <x:f>"CEK0003 | CEK0006 | CEK0005"</x:f>
        <x:v>CEK0003 | CEK0006 | CEK0005</x:v>
      </x:c>
    </x:row>
    <x:row r="153">
      <x:c r="A153" s="22" t="n">
        <x:v>149</x:v>
      </x:c>
      <x:c r="B153" s="28" t="str">
        <x:f>"CH(0004"</x:f>
        <x:v>CH(0004</x:v>
      </x:c>
      <x:c r="C153" s="22" t="str">
        <x:v>CLORIDRATO DE HIDRALAZINA (NEPRASOL) 20MG/1ML CX/50 CRISTALIA</x:v>
      </x:c>
      <x:c r="D153" s="22" t="str">
        <x:v>CLORIDRATO HIDRALAZINA</x:v>
      </x:c>
      <x:c r="E153" s="22" t="str">
        <x:v>CLORIDRATO HIDRALAZINA</x:v>
      </x:c>
      <x:c r="F153" s="22" t="str">
        <x:v>20MG/1ML | 20MG | 1ML</x:v>
      </x:c>
      <x:c r="G153" s="22" t="str"/>
      <x:c r="H153" s="22" t="str">
        <x:v>CX/50 | CX | CONTEUDO50 | FATOR50</x:v>
      </x:c>
      <x:c r="I153" s="22" t="str">
        <x:v>CAIXA</x:v>
      </x:c>
      <x:c r="J153" s="22" t="str">
        <x:v>CRISTALIA</x:v>
      </x:c>
      <x:c r="K153" s="28" t="str">
        <x:f>"GTIN: 7896676401592"</x:f>
        <x:v>GTIN: 7896676401592</x:v>
      </x:c>
      <x:c r="L153" s="28" t="str">
        <x:f>"30049065"</x:f>
        <x:v>30049065</x:v>
      </x:c>
      <x:c r="M153" s="22" t="str">
        <x:v>UN</x:v>
      </x:c>
      <x:c r="N153" s="22" t="str">
        <x:v>CX</x:v>
      </x:c>
      <x:c r="O153" s="22" t="n">
        <x:v>50</x:v>
      </x:c>
      <x:c r="P153" s="28" t="str">
        <x:f>"274"</x:f>
        <x:v>274</x:v>
      </x:c>
      <x:c r="Q153" s="28" t="str">
        <x:f>"CH(0004"</x:f>
        <x:v>CH(0004</x:v>
      </x:c>
    </x:row>
    <x:row r="154">
      <x:c r="A154" s="22" t="n">
        <x:v>150</x:v>
      </x:c>
      <x:c r="B154" s="28" t="str">
        <x:f>"CL20013"</x:f>
        <x:v>CL20013</x:v>
      </x:c>
      <x:c r="C154" s="22" t="str">
        <x:v>CLORIDRATO DE LIDOCAINA 2% 20ML SV CX/25 - CRISTALIA</x:v>
      </x:c>
      <x:c r="D154" s="22" t="str">
        <x:v>CLORIDRATO LIDOCAINA % SV</x:v>
      </x:c>
      <x:c r="E154" s="22" t="str">
        <x:v>CLORIDRATO LIDOCAINA SV</x:v>
      </x:c>
      <x:c r="F154" s="22" t="str">
        <x:v>20ML</x:v>
      </x:c>
      <x:c r="G154" s="22" t="str"/>
      <x:c r="H154" s="22" t="str">
        <x:v>CX/25 | CX25</x:v>
      </x:c>
      <x:c r="I154" s="22" t="str">
        <x:v>CAIXA</x:v>
      </x:c>
      <x:c r="J154" s="22" t="str">
        <x:v>CRISTALIA</x:v>
      </x:c>
      <x:c r="K154" s="28" t="str">
        <x:f>"GTIN: 7898470686212"</x:f>
        <x:v>GTIN: 7898470686212</x:v>
      </x:c>
      <x:c r="L154" s="28" t="str">
        <x:f>"30049043"</x:f>
        <x:v>30049043</x:v>
      </x:c>
      <x:c r="M154" s="22" t="str">
        <x:v>CX25</x:v>
      </x:c>
      <x:c r="N154" s="22" t="str">
        <x:v>CX25</x:v>
      </x:c>
      <x:c r="O154" s="22" t="n">
        <x:v>1</x:v>
      </x:c>
      <x:c r="P154" s="28" t="str">
        <x:f>"275 | 276 | 277 | 278 | 279 | 280 | 281 | 282 | 283 | 284"</x:f>
        <x:v>275 | 276 | 277 | 278 | 279 | 280 | 281 | 282 | 283 | 284</x:v>
      </x:c>
      <x:c r="Q154" s="28" t="str">
        <x:f>"CL20013 | CL20007 | CL20014 | CL20015 | CL20011 | CL20008 | CL20009 | CL20010 | CL20006 | CL20012"</x:f>
        <x:v>CL20013 | CL20007 | CL20014 | CL20015 | CL20011 | CL20008 | CL20009 | CL20010 | CL20006 | CL20012</x:v>
      </x:c>
    </x:row>
    <x:row r="155">
      <x:c r="A155" s="22" t="n">
        <x:v>151</x:v>
      </x:c>
      <x:c r="B155" s="28" t="str">
        <x:f>"CL20004"</x:f>
        <x:v>CL20004</x:v>
      </x:c>
      <x:c r="C155" s="22" t="str">
        <x:v>CLORIDRATO DE LIDOCAINA 2% 20ML SV CX/25 - HYPOFARMA</x:v>
      </x:c>
      <x:c r="D155" s="22" t="str">
        <x:v>CLORIDRATO LIDOCAINA % SV</x:v>
      </x:c>
      <x:c r="E155" s="22" t="str">
        <x:v>CLORIDRATO LIDOCAINA SV</x:v>
      </x:c>
      <x:c r="F155" s="22" t="str">
        <x:v>20ML</x:v>
      </x:c>
      <x:c r="G155" s="22" t="str"/>
      <x:c r="H155" s="22" t="str">
        <x:v>CX/25 | CX25</x:v>
      </x:c>
      <x:c r="I155" s="22" t="str">
        <x:v>CAIXA</x:v>
      </x:c>
      <x:c r="J155" s="22" t="str">
        <x:v>HYPOFARMA</x:v>
      </x:c>
      <x:c r="K155" s="28" t="str">
        <x:f>"GTIN: 7898470686212"</x:f>
        <x:v>GTIN: 7898470686212</x:v>
      </x:c>
      <x:c r="L155" s="28" t="str">
        <x:f>"30049043"</x:f>
        <x:v>30049043</x:v>
      </x:c>
      <x:c r="M155" s="22" t="str">
        <x:v>CX25</x:v>
      </x:c>
      <x:c r="N155" s="22" t="str">
        <x:v>CX25</x:v>
      </x:c>
      <x:c r="O155" s="22" t="n">
        <x:v>1</x:v>
      </x:c>
      <x:c r="P155" s="28" t="str">
        <x:f>"285 | 286 | 287"</x:f>
        <x:v>285 | 286 | 287</x:v>
      </x:c>
      <x:c r="Q155" s="28" t="str">
        <x:f>"CL20003 | CL20004 | CL20005"</x:f>
        <x:v>CL20003 | CL20004 | CL20005</x:v>
      </x:c>
    </x:row>
    <x:row r="156">
      <x:c r="A156" s="22" t="n">
        <x:v>152</x:v>
      </x:c>
      <x:c r="B156" s="28" t="str">
        <x:f>"CLG0021"</x:f>
        <x:v>CLG0021</x:v>
      </x:c>
      <x:c r="C156" s="22" t="str">
        <x:v>CLORIDRATO DE LIDOCAINA GELEIA 2% - 20MG - 1 BISNAGA 30G - CRISTALIA</x:v>
      </x:c>
      <x:c r="D156" s="22" t="str">
        <x:v>CLORIDRATO LIDOCAINA GELEIA % BISNAGA</x:v>
      </x:c>
      <x:c r="E156" s="22" t="str">
        <x:v>CLORIDRATO LIDOCAINA GELEIA</x:v>
      </x:c>
      <x:c r="F156" s="22" t="str">
        <x:v>20MG | 30G</x:v>
      </x:c>
      <x:c r="G156" s="22" t="str">
        <x:v>30G</x:v>
      </x:c>
      <x:c r="H156" s="22" t="str">
        <x:v>UND</x:v>
      </x:c>
      <x:c r="I156" s="22" t="str">
        <x:v>UNIDADE</x:v>
      </x:c>
      <x:c r="J156" s="22" t="str">
        <x:v>CRISTALIA</x:v>
      </x:c>
      <x:c r="K156" s="28" t="str">
        <x:f>"GTIN: 7898123905653"</x:f>
        <x:v>GTIN: 7898123905653</x:v>
      </x:c>
      <x:c r="L156" s="28" t="str">
        <x:f>"30049043"</x:f>
        <x:v>30049043</x:v>
      </x:c>
      <x:c r="M156" s="22" t="str">
        <x:v>UND</x:v>
      </x:c>
      <x:c r="N156" s="22" t="str">
        <x:v>UND</x:v>
      </x:c>
      <x:c r="O156" s="22" t="n">
        <x:v>1</x:v>
      </x:c>
      <x:c r="P156" s="28" t="str">
        <x:f>"288"</x:f>
        <x:v>288</x:v>
      </x:c>
      <x:c r="Q156" s="28" t="str">
        <x:f>"CLG0021"</x:f>
        <x:v>CLG0021</x:v>
      </x:c>
    </x:row>
    <x:row r="157">
      <x:c r="A157" s="22" t="n">
        <x:v>153</x:v>
      </x:c>
      <x:c r="B157" s="28" t="str">
        <x:f>"CLG0011"</x:f>
        <x:v>CLG0011</x:v>
      </x:c>
      <x:c r="C157" s="22" t="str">
        <x:v>CLORIDRATO DE LIDOCAINA GELEIA 2% - 20MG - 1 BISNAGA 30G - PHARLAB</x:v>
      </x:c>
      <x:c r="D157" s="22" t="str">
        <x:v>CLORIDRATO LIDOCAINA GELEIA % BISNAGA</x:v>
      </x:c>
      <x:c r="E157" s="22" t="str">
        <x:v>CLORIDRATO LIDOCAINA GELEIA</x:v>
      </x:c>
      <x:c r="F157" s="22" t="str">
        <x:v>20MG | 30G</x:v>
      </x:c>
      <x:c r="G157" s="22" t="str">
        <x:v>30G</x:v>
      </x:c>
      <x:c r="H157" s="22" t="str">
        <x:v>UND</x:v>
      </x:c>
      <x:c r="I157" s="22" t="str">
        <x:v>UNIDADE</x:v>
      </x:c>
      <x:c r="J157" s="22" t="str">
        <x:v>PHARLAB</x:v>
      </x:c>
      <x:c r="K157" s="28" t="str">
        <x:f>"GTIN: 7898123905653"</x:f>
        <x:v>GTIN: 7898123905653</x:v>
      </x:c>
      <x:c r="L157" s="28" t="str">
        <x:f>"30049043"</x:f>
        <x:v>30049043</x:v>
      </x:c>
      <x:c r="M157" s="22" t="str">
        <x:v>UND</x:v>
      </x:c>
      <x:c r="N157" s="22" t="str">
        <x:v>UND</x:v>
      </x:c>
      <x:c r="O157" s="22" t="n">
        <x:v>1</x:v>
      </x:c>
      <x:c r="P157" s="28" t="str">
        <x:f>"289 | 290"</x:f>
        <x:v>289 | 290</x:v>
      </x:c>
      <x:c r="Q157" s="28" t="str">
        <x:f>"CLG0011 | CLG0001"</x:f>
        <x:v>CLG0011 | CLG0001</x:v>
      </x:c>
    </x:row>
    <x:row r="158">
      <x:c r="A158" s="22" t="n">
        <x:v>154</x:v>
      </x:c>
      <x:c r="B158" s="28" t="str">
        <x:f>"CLG0005"</x:f>
        <x:v>CLG0005</x:v>
      </x:c>
      <x:c r="C158" s="22" t="str">
        <x:v>CLORIDRATO DE LIDOCAINA GELEIA 2%/20MG - 1 BISNAGA 30G - NEOQUIMICA</x:v>
      </x:c>
      <x:c r="D158" s="22" t="str">
        <x:v>CLORIDRATO LIDOCAINA GELEIA % BISNAGA</x:v>
      </x:c>
      <x:c r="E158" s="22" t="str">
        <x:v>CLORIDRATO LIDOCAINA GELEIA</x:v>
      </x:c>
      <x:c r="F158" s="22" t="str">
        <x:v>20MG | 30G</x:v>
      </x:c>
      <x:c r="G158" s="22" t="str">
        <x:v>30G</x:v>
      </x:c>
      <x:c r="H158" s="22" t="str">
        <x:v>UND</x:v>
      </x:c>
      <x:c r="I158" s="22" t="str">
        <x:v>UNIDADE</x:v>
      </x:c>
      <x:c r="J158" s="22" t="str">
        <x:v>NEOQUIMICA</x:v>
      </x:c>
      <x:c r="K158" s="28" t="str">
        <x:f>"GTIN: 7896714230160"</x:f>
        <x:v>GTIN: 7896714230160</x:v>
      </x:c>
      <x:c r="L158" s="28" t="str">
        <x:f>"30049043"</x:f>
        <x:v>30049043</x:v>
      </x:c>
      <x:c r="M158" s="22" t="str">
        <x:v>UND</x:v>
      </x:c>
      <x:c r="N158" s="22" t="str">
        <x:v>UND</x:v>
      </x:c>
      <x:c r="O158" s="22" t="n">
        <x:v>1</x:v>
      </x:c>
      <x:c r="P158" s="28" t="str">
        <x:f>"291 | 292 | 293 | 294 | 295 | 296 | 297 | 298 | 299 | 300"</x:f>
        <x:v>291 | 292 | 293 | 294 | 295 | 296 | 297 | 298 | 299 | 300</x:v>
      </x:c>
      <x:c r="Q158" s="28" t="str">
        <x:f>"CLG0005 | CLG0018 | CLG0015 | CLG0017 | CLG0022 | CLG0003 | CLG0020 | CLG0002 | CLG0006 | CLG0004"</x:f>
        <x:v>CLG0005 | CLG0018 | CLG0015 | CLG0017 | CLG0022 | CLG0003 | CLG0020 | CLG0002 | CLG0006 | CLG0004</x:v>
      </x:c>
    </x:row>
    <x:row r="159">
      <x:c r="A159" s="22" t="n">
        <x:v>155</x:v>
      </x:c>
      <x:c r="B159" s="28" t="str">
        <x:f>"CO40001"</x:f>
        <x:v>CO40001</x:v>
      </x:c>
      <x:c r="C159" s="22" t="str">
        <x:v>CLORIDRATO DE ONDANSETRONA 4MG/2ML AP - UNIÃO QUIMICA</x:v>
      </x:c>
      <x:c r="D159" s="22" t="str">
        <x:v>CLORIDRATO ONDANSETRONA</x:v>
      </x:c>
      <x:c r="E159" s="22" t="str">
        <x:v>CLORIDRATO ONDANSETRONA</x:v>
      </x:c>
      <x:c r="F159" s="22" t="str">
        <x:v>4MG/2ML | 4MG | 2ML</x:v>
      </x:c>
      <x:c r="G159" s="22" t="str"/>
      <x:c r="H159" s="22" t="str">
        <x:v>AP | UN</x:v>
      </x:c>
      <x:c r="I159" s="22" t="str">
        <x:v>UNIDADE</x:v>
      </x:c>
      <x:c r="J159" s="22" t="str">
        <x:v>UNIÃO QUIMICA</x:v>
      </x:c>
      <x:c r="K159" s="28" t="str"/>
      <x:c r="L159" s="28" t="str">
        <x:f>"30049069"</x:f>
        <x:v>30049069</x:v>
      </x:c>
      <x:c r="M159" s="22" t="str">
        <x:v>UN</x:v>
      </x:c>
      <x:c r="N159" s="22" t="str">
        <x:v>UN</x:v>
      </x:c>
      <x:c r="O159" s="22" t="n">
        <x:v>1</x:v>
      </x:c>
      <x:c r="P159" s="28" t="str">
        <x:f>"301"</x:f>
        <x:v>301</x:v>
      </x:c>
      <x:c r="Q159" s="28" t="str">
        <x:f>"CO40001"</x:f>
        <x:v>CO40001</x:v>
      </x:c>
    </x:row>
    <x:row r="160">
      <x:c r="A160" s="22" t="n">
        <x:v>156</x:v>
      </x:c>
      <x:c r="B160" s="28" t="str">
        <x:f>"CON0001"</x:f>
        <x:v>CON0001</x:v>
      </x:c>
      <x:c r="C160" s="22" t="str">
        <x:v>CLORIDRATO DE ONDANSETRONA 4MG/ML 2ML AP CX/50 - HIPOLABOR</x:v>
      </x:c>
      <x:c r="D160" s="22" t="str">
        <x:v>CLORIDRATO ONDANSETRONA</x:v>
      </x:c>
      <x:c r="E160" s="22" t="str">
        <x:v>CLORIDRATO ONDANSETRONA</x:v>
      </x:c>
      <x:c r="F160" s="22" t="str">
        <x:v>4MG/ML | 4MG | 2ML</x:v>
      </x:c>
      <x:c r="G160" s="22" t="str"/>
      <x:c r="H160" s="22" t="str">
        <x:v>AP | CX/50 | CX | CONTEUDO50 | FATOR50</x:v>
      </x:c>
      <x:c r="I160" s="22" t="str">
        <x:v>CAIXA</x:v>
      </x:c>
      <x:c r="J160" s="22" t="str">
        <x:v>HIPOLABOR</x:v>
      </x:c>
      <x:c r="K160" s="28" t="str">
        <x:f>"GTIN: 7898470684164"</x:f>
        <x:v>GTIN: 7898470684164</x:v>
      </x:c>
      <x:c r="L160" s="28" t="str">
        <x:f>"30049069"</x:f>
        <x:v>30049069</x:v>
      </x:c>
      <x:c r="M160" s="22" t="str">
        <x:v>UN</x:v>
      </x:c>
      <x:c r="N160" s="22" t="str">
        <x:v>CX</x:v>
      </x:c>
      <x:c r="O160" s="22" t="n">
        <x:v>50</x:v>
      </x:c>
      <x:c r="P160" s="28" t="str">
        <x:f>"302"</x:f>
        <x:v>302</x:v>
      </x:c>
      <x:c r="Q160" s="28" t="str">
        <x:f>"CON0001"</x:f>
        <x:v>CON0001</x:v>
      </x:c>
    </x:row>
    <x:row r="161">
      <x:c r="A161" s="22" t="n">
        <x:v>157</x:v>
      </x:c>
      <x:c r="B161" s="28" t="str">
        <x:f>"CO40002"</x:f>
        <x:v>CO40002</x:v>
      </x:c>
      <x:c r="C161" s="22" t="str">
        <x:v>CLORIDRATO DE ONDANSETRONA NAUSEDRON 2MG/ML 4ML AP CX/50 - CRISTÁLIA</x:v>
      </x:c>
      <x:c r="D161" s="22" t="str">
        <x:v>CLORIDRATO ONDANSETRONA NAUSEDRON CRISTALIA</x:v>
      </x:c>
      <x:c r="E161" s="22" t="str">
        <x:v>CLORIDRATO ONDANSETRONA NAUSEDRON</x:v>
      </x:c>
      <x:c r="F161" s="22" t="str">
        <x:v>2MG/ML | 2MG | 4ML</x:v>
      </x:c>
      <x:c r="G161" s="22" t="str"/>
      <x:c r="H161" s="22" t="str">
        <x:v>AP | CX/50 | CX | CONTEUDO50 | FATOR50</x:v>
      </x:c>
      <x:c r="I161" s="22" t="str">
        <x:v>CAIXA</x:v>
      </x:c>
      <x:c r="J161" s="22" t="str">
        <x:v>UNIÃO QUIMICA</x:v>
      </x:c>
      <x:c r="K161" s="28" t="str">
        <x:f>"GTIN: 7898470684164"</x:f>
        <x:v>GTIN: 7898470684164</x:v>
      </x:c>
      <x:c r="L161" s="28" t="str">
        <x:f>"30049069"</x:f>
        <x:v>30049069</x:v>
      </x:c>
      <x:c r="M161" s="22" t="str">
        <x:v>UN</x:v>
      </x:c>
      <x:c r="N161" s="22" t="str">
        <x:v>CX</x:v>
      </x:c>
      <x:c r="O161" s="22" t="n">
        <x:v>50</x:v>
      </x:c>
      <x:c r="P161" s="28" t="str">
        <x:f>"303"</x:f>
        <x:v>303</x:v>
      </x:c>
      <x:c r="Q161" s="28" t="str">
        <x:f>"CO40002"</x:f>
        <x:v>CO40002</x:v>
      </x:c>
    </x:row>
    <x:row r="162">
      <x:c r="A162" s="22" t="n">
        <x:v>158</x:v>
      </x:c>
      <x:c r="B162" s="28" t="str">
        <x:f>"CP20001"</x:f>
        <x:v>CP20001</x:v>
      </x:c>
      <x:c r="C162" s="22" t="str">
        <x:v>CLORIDRATO DE PROMETAZINA 25MG/ML FR 2ML CX/ 100 - HIPOLABOR</x:v>
      </x:c>
      <x:c r="D162" s="22" t="str">
        <x:v>CLORIDRATO PROMETAZINA</x:v>
      </x:c>
      <x:c r="E162" s="22" t="str">
        <x:v>CLORIDRATO PROMETAZINA</x:v>
      </x:c>
      <x:c r="F162" s="22" t="str">
        <x:v>25MG/ML | 25MG | 2ML</x:v>
      </x:c>
      <x:c r="G162" s="22" t="str"/>
      <x:c r="H162" s="22" t="str">
        <x:v>FR | CX/100 | CX | CONTEUDO10 | FATOR10</x:v>
      </x:c>
      <x:c r="I162" s="22" t="str">
        <x:v>CAIXA</x:v>
      </x:c>
      <x:c r="J162" s="22" t="str">
        <x:v>HIPOLABOR</x:v>
      </x:c>
      <x:c r="K162" s="28" t="str"/>
      <x:c r="L162" s="28" t="str">
        <x:f>"29343030"</x:f>
        <x:v>29343030</x:v>
      </x:c>
      <x:c r="M162" s="22" t="str">
        <x:v>UN</x:v>
      </x:c>
      <x:c r="N162" s="22" t="str">
        <x:v>CX</x:v>
      </x:c>
      <x:c r="O162" s="22" t="n">
        <x:v>10</x:v>
      </x:c>
      <x:c r="P162" s="28" t="str">
        <x:f>"304"</x:f>
        <x:v>304</x:v>
      </x:c>
      <x:c r="Q162" s="28" t="str">
        <x:f>"CP20001"</x:f>
        <x:v>CP20001</x:v>
      </x:c>
    </x:row>
    <x:row r="163">
      <x:c r="A163" s="22" t="n">
        <x:v>159</x:v>
      </x:c>
      <x:c r="B163" s="28" t="str">
        <x:f>"CR20006"</x:f>
        <x:v>CR20006</x:v>
      </x:c>
      <x:c r="C163" s="22" t="str">
        <x:v>CLORIDRATO DE REMIFENTANILA 2MG - CX/5 - CRISTALIA</x:v>
      </x:c>
      <x:c r="D163" s="22" t="str">
        <x:v>CLORIDRATO REMIFENTANILA</x:v>
      </x:c>
      <x:c r="E163" s="22" t="str">
        <x:v>CLORIDRATO REMIFENTANILA</x:v>
      </x:c>
      <x:c r="F163" s="22" t="str">
        <x:v>2MG</x:v>
      </x:c>
      <x:c r="G163" s="22" t="str"/>
      <x:c r="H163" s="22" t="str">
        <x:v>CX/5 | CX | CONTEUDO5 | FATOR5</x:v>
      </x:c>
      <x:c r="I163" s="22" t="str">
        <x:v>CAIXA</x:v>
      </x:c>
      <x:c r="J163" s="22" t="str">
        <x:v>CRISTALIA</x:v>
      </x:c>
      <x:c r="K163" s="28" t="str">
        <x:f>"GTIN: 7896676416251"</x:f>
        <x:v>GTIN: 7896676416251</x:v>
      </x:c>
      <x:c r="L163" s="28" t="str">
        <x:f>"30049069"</x:f>
        <x:v>30049069</x:v>
      </x:c>
      <x:c r="M163" s="22" t="str">
        <x:v>UN</x:v>
      </x:c>
      <x:c r="N163" s="22" t="str">
        <x:v>CX</x:v>
      </x:c>
      <x:c r="O163" s="22" t="n">
        <x:v>5</x:v>
      </x:c>
      <x:c r="P163" s="28" t="str">
        <x:f>"305 | 306 | 307 | 308 | 309 | 310 | 311 | 312 | 313 | 314 | 315"</x:f>
        <x:v>305 | 306 | 307 | 308 | 309 | 310 | 311 | 312 | 313 | 314 | 315</x:v>
      </x:c>
      <x:c r="Q163" s="28" t="str">
        <x:f>"CR20008 | CR20011 | CR20012 | CR20006 | CR20005 | CR20001 | CR20013 | CR20014 | CR20002 | CR20003 | CR20004"</x:f>
        <x:v>CR20008 | CR20011 | CR20012 | CR20006 | CR20005 | CR20001 | CR20013 | CR20014 | CR20002 | CR20003 | CR20004</x:v>
      </x:c>
    </x:row>
    <x:row r="164">
      <x:c r="A164" s="22" t="n">
        <x:v>160</x:v>
      </x:c>
      <x:c r="B164" s="28" t="str">
        <x:f>"CR20010"</x:f>
        <x:v>CR20010</x:v>
      </x:c>
      <x:c r="C164" s="22" t="str">
        <x:v>CLORIDRATO DE REMIFENTANILA 2MG - CX/5 - UNIÃO QUÍMICA</x:v>
      </x:c>
      <x:c r="D164" s="22" t="str">
        <x:v>CLORIDRATO REMIFENTANILA</x:v>
      </x:c>
      <x:c r="E164" s="22" t="str">
        <x:v>CLORIDRATO REMIFENTANILA</x:v>
      </x:c>
      <x:c r="F164" s="22" t="str">
        <x:v>2MG</x:v>
      </x:c>
      <x:c r="G164" s="22" t="str"/>
      <x:c r="H164" s="22" t="str">
        <x:v>CX/5 | CX | CONTEUDO5 | FATOR5</x:v>
      </x:c>
      <x:c r="I164" s="22" t="str">
        <x:v>CAIXA</x:v>
      </x:c>
      <x:c r="J164" s="22" t="str">
        <x:v>UNIÃO QUÍMICA</x:v>
      </x:c>
      <x:c r="K164" s="28" t="str">
        <x:f>"GTIN: 7896006217510"</x:f>
        <x:v>GTIN: 7896006217510</x:v>
      </x:c>
      <x:c r="L164" s="28" t="str">
        <x:f>"30049069"</x:f>
        <x:v>30049069</x:v>
      </x:c>
      <x:c r="M164" s="22" t="str">
        <x:v>UN</x:v>
      </x:c>
      <x:c r="N164" s="22" t="str">
        <x:v>CX</x:v>
      </x:c>
      <x:c r="O164" s="22" t="n">
        <x:v>5</x:v>
      </x:c>
      <x:c r="P164" s="28" t="str">
        <x:f>"316"</x:f>
        <x:v>316</x:v>
      </x:c>
      <x:c r="Q164" s="28" t="str">
        <x:f>"CR20010"</x:f>
        <x:v>CR20010</x:v>
      </x:c>
    </x:row>
    <x:row r="165">
      <x:c r="A165" s="22" t="n">
        <x:v>161</x:v>
      </x:c>
      <x:c r="B165" s="28" t="str">
        <x:f>"CV10002"</x:f>
        <x:v>CV10002</x:v>
      </x:c>
      <x:c r="C165" s="22" t="str">
        <x:v>CLORIDRATO DE VANCOMICINA 1G - CX/25 - ABL</x:v>
      </x:c>
      <x:c r="D165" s="22" t="str">
        <x:v>CLORIDRATO VANCOMICINA</x:v>
      </x:c>
      <x:c r="E165" s="22" t="str">
        <x:v>CLORIDRATO VANCOMICINA</x:v>
      </x:c>
      <x:c r="F165" s="22" t="str">
        <x:v>1G</x:v>
      </x:c>
      <x:c r="G165" s="22" t="str">
        <x:v>1G</x:v>
      </x:c>
      <x:c r="H165" s="22" t="str">
        <x:v>CX/25 | CX | CONTEUDO25 | FATOR25</x:v>
      </x:c>
      <x:c r="I165" s="22" t="str">
        <x:v>CAIXA</x:v>
      </x:c>
      <x:c r="J165" s="22" t="str">
        <x:v>ABL</x:v>
      </x:c>
      <x:c r="K165" s="28" t="str">
        <x:f>"GTIN: 7898901848455"</x:f>
        <x:v>GTIN: 7898901848455</x:v>
      </x:c>
      <x:c r="L165" s="28" t="str">
        <x:f>"30042071"</x:f>
        <x:v>30042071</x:v>
      </x:c>
      <x:c r="M165" s="22" t="str">
        <x:v>UN</x:v>
      </x:c>
      <x:c r="N165" s="22" t="str">
        <x:v>CX</x:v>
      </x:c>
      <x:c r="O165" s="22" t="n">
        <x:v>25</x:v>
      </x:c>
      <x:c r="P165" s="28" t="str">
        <x:f>"317"</x:f>
        <x:v>317</x:v>
      </x:c>
      <x:c r="Q165" s="28" t="str">
        <x:f>"CV10002"</x:f>
        <x:v>CV10002</x:v>
      </x:c>
    </x:row>
    <x:row r="166">
      <x:c r="A166" s="22" t="n">
        <x:v>162</x:v>
      </x:c>
      <x:c r="B166" s="28" t="str">
        <x:f>"CV50014"</x:f>
        <x:v>CV50014</x:v>
      </x:c>
      <x:c r="C166" s="22" t="str">
        <x:v>CLORIDRATO DE VANCOMICINA 500MG - CX/20 - BLAU</x:v>
      </x:c>
      <x:c r="D166" s="22" t="str">
        <x:v>CLORIDRATO VANCOMICINA</x:v>
      </x:c>
      <x:c r="E166" s="22" t="str">
        <x:v>CLORIDRATO VANCOMICINA</x:v>
      </x:c>
      <x:c r="F166" s="22" t="str">
        <x:v>500MG</x:v>
      </x:c>
      <x:c r="G166" s="22" t="str"/>
      <x:c r="H166" s="22" t="str">
        <x:v>CX/20 | CX | CONTEUDO20 | FATOR20</x:v>
      </x:c>
      <x:c r="I166" s="22" t="str">
        <x:v>CAIXA</x:v>
      </x:c>
      <x:c r="J166" s="22" t="str">
        <x:v>BLAU</x:v>
      </x:c>
      <x:c r="K166" s="28" t="str"/>
      <x:c r="L166" s="28" t="str">
        <x:f>"30042071"</x:f>
        <x:v>30042071</x:v>
      </x:c>
      <x:c r="M166" s="22" t="str">
        <x:v>UN</x:v>
      </x:c>
      <x:c r="N166" s="22" t="str">
        <x:v>CX</x:v>
      </x:c>
      <x:c r="O166" s="22" t="n">
        <x:v>20</x:v>
      </x:c>
      <x:c r="P166" s="28" t="str">
        <x:f>"318 | 319 | 320"</x:f>
        <x:v>318 | 319 | 320</x:v>
      </x:c>
      <x:c r="Q166" s="28" t="str">
        <x:f>"CV50003 | CV50014 | CV50019"</x:f>
        <x:v>CV50003 | CV50014 | CV50019</x:v>
      </x:c>
    </x:row>
    <x:row r="167">
      <x:c r="A167" s="22" t="n">
        <x:v>163</x:v>
      </x:c>
      <x:c r="B167" s="28" t="str">
        <x:f>"CV50002"</x:f>
        <x:v>CV50002</x:v>
      </x:c>
      <x:c r="C167" s="22" t="str">
        <x:v>CLORIDRATO DE VANCOMICINA 500MG - CX/25 - ABL</x:v>
      </x:c>
      <x:c r="D167" s="22" t="str">
        <x:v>CLORIDRATO VANCOMICINA</x:v>
      </x:c>
      <x:c r="E167" s="22" t="str">
        <x:v>CLORIDRATO VANCOMICINA</x:v>
      </x:c>
      <x:c r="F167" s="22" t="str">
        <x:v>500MG</x:v>
      </x:c>
      <x:c r="G167" s="22" t="str"/>
      <x:c r="H167" s="22" t="str">
        <x:v>CX/25 | CX | CONTEUDO25 | FATOR25</x:v>
      </x:c>
      <x:c r="I167" s="22" t="str">
        <x:v>CAIXA</x:v>
      </x:c>
      <x:c r="J167" s="22" t="str">
        <x:v>ABL</x:v>
      </x:c>
      <x:c r="K167" s="28" t="str"/>
      <x:c r="L167" s="28" t="str">
        <x:f>"30042071"</x:f>
        <x:v>30042071</x:v>
      </x:c>
      <x:c r="M167" s="22" t="str">
        <x:v>UN</x:v>
      </x:c>
      <x:c r="N167" s="22" t="str">
        <x:v>CX</x:v>
      </x:c>
      <x:c r="O167" s="22" t="n">
        <x:v>25</x:v>
      </x:c>
      <x:c r="P167" s="28" t="str">
        <x:f>"321 | 322 | 323"</x:f>
        <x:v>321 | 322 | 323</x:v>
      </x:c>
      <x:c r="Q167" s="28" t="str">
        <x:f>"CV50002 | CV10001 | CV50001"</x:f>
        <x:v>CV50002 | CV10001 | CV50001</x:v>
      </x:c>
    </x:row>
    <x:row r="168">
      <x:c r="A168" s="22" t="n">
        <x:v>164</x:v>
      </x:c>
      <x:c r="B168" s="28" t="str">
        <x:f>"CV50017"</x:f>
        <x:v>CV50017</x:v>
      </x:c>
      <x:c r="C168" s="22" t="str">
        <x:v>CLORIDRATO DE VANCOMICINA 500MG CX/50 - TEUTO</x:v>
      </x:c>
      <x:c r="D168" s="22" t="str">
        <x:v>CLORIDRATO VANCOMICINA</x:v>
      </x:c>
      <x:c r="E168" s="22" t="str">
        <x:v>CLORIDRATO VANCOMICINA</x:v>
      </x:c>
      <x:c r="F168" s="22" t="str">
        <x:v>500MG</x:v>
      </x:c>
      <x:c r="G168" s="22" t="str"/>
      <x:c r="H168" s="22" t="str">
        <x:v>CX/50 | CX | CONTEUDO25 | FATOR25</x:v>
      </x:c>
      <x:c r="I168" s="22" t="str">
        <x:v>CAIXA</x:v>
      </x:c>
      <x:c r="J168" s="22" t="str">
        <x:v>TEUTO</x:v>
      </x:c>
      <x:c r="K168" s="28" t="str">
        <x:f>"GTIN: 7895858004927"</x:f>
        <x:v>GTIN: 7895858004927</x:v>
      </x:c>
      <x:c r="L168" s="28" t="str">
        <x:f>"30042071"</x:f>
        <x:v>30042071</x:v>
      </x:c>
      <x:c r="M168" s="22" t="str">
        <x:v>UN</x:v>
      </x:c>
      <x:c r="N168" s="22" t="str">
        <x:v>CX</x:v>
      </x:c>
      <x:c r="O168" s="22" t="n">
        <x:v>25</x:v>
      </x:c>
      <x:c r="P168" s="28" t="str">
        <x:f>"324"</x:f>
        <x:v>324</x:v>
      </x:c>
      <x:c r="Q168" s="28" t="str">
        <x:f>"CV50017"</x:f>
        <x:v>CV50017</x:v>
      </x:c>
    </x:row>
    <x:row r="169">
      <x:c r="A169" s="22" t="n">
        <x:v>165</x:v>
      </x:c>
      <x:c r="B169" s="28" t="str">
        <x:f>"CL20002"</x:f>
        <x:v>CL20002</x:v>
      </x:c>
      <x:c r="C169" s="22" t="str">
        <x:v>CLORIDRATO LIDOCAINA 2% 20ML CV CX/25 - HYPOFARMA</x:v>
      </x:c>
      <x:c r="D169" s="22" t="str">
        <x:v>CLORIDRATO LIDOCAINA % CV</x:v>
      </x:c>
      <x:c r="E169" s="22" t="str">
        <x:v>CLORIDRATO LIDOCAINA CV</x:v>
      </x:c>
      <x:c r="F169" s="22" t="str">
        <x:v>20ML</x:v>
      </x:c>
      <x:c r="G169" s="22" t="str"/>
      <x:c r="H169" s="22" t="str">
        <x:v>CX/25 | CX25</x:v>
      </x:c>
      <x:c r="I169" s="22" t="str">
        <x:v>CAIXA</x:v>
      </x:c>
      <x:c r="J169" s="22" t="str">
        <x:v>HYPOFARMA</x:v>
      </x:c>
      <x:c r="K169" s="28" t="str"/>
      <x:c r="L169" s="28" t="str">
        <x:f>"30049043"</x:f>
        <x:v>30049043</x:v>
      </x:c>
      <x:c r="M169" s="22" t="str">
        <x:v>CX25</x:v>
      </x:c>
      <x:c r="N169" s="22" t="str">
        <x:v>CX25</x:v>
      </x:c>
      <x:c r="O169" s="22" t="n">
        <x:v>1</x:v>
      </x:c>
      <x:c r="P169" s="28" t="str">
        <x:f>"325"</x:f>
        <x:v>325</x:v>
      </x:c>
      <x:c r="Q169" s="28" t="str">
        <x:f>"CL20002"</x:f>
        <x:v>CL20002</x:v>
      </x:c>
    </x:row>
    <x:row r="170">
      <x:c r="A170" s="22" t="n">
        <x:v>166</x:v>
      </x:c>
      <x:c r="B170" s="28" t="str">
        <x:f>"CL20001"</x:f>
        <x:v>CL20001</x:v>
      </x:c>
      <x:c r="C170" s="22" t="str">
        <x:v>CLORIDRATO LIDOCAINA 2% 20ML SV CX/25 - HYPOFARMA</x:v>
      </x:c>
      <x:c r="D170" s="22" t="str">
        <x:v>CLORIDRATO LIDOCAINA % SV</x:v>
      </x:c>
      <x:c r="E170" s="22" t="str">
        <x:v>CLORIDRATO LIDOCAINA SV</x:v>
      </x:c>
      <x:c r="F170" s="22" t="str">
        <x:v>20ML</x:v>
      </x:c>
      <x:c r="G170" s="22" t="str"/>
      <x:c r="H170" s="22" t="str">
        <x:v>CX/25 | CX25</x:v>
      </x:c>
      <x:c r="I170" s="22" t="str">
        <x:v>CAIXA</x:v>
      </x:c>
      <x:c r="J170" s="22" t="str">
        <x:v>HYPOFARMA</x:v>
      </x:c>
      <x:c r="K170" s="28" t="str">
        <x:f>"GTIN: 7898470686212"</x:f>
        <x:v>GTIN: 7898470686212</x:v>
      </x:c>
      <x:c r="L170" s="28" t="str">
        <x:f>"30049043"</x:f>
        <x:v>30049043</x:v>
      </x:c>
      <x:c r="M170" s="22" t="str">
        <x:v>CX25</x:v>
      </x:c>
      <x:c r="N170" s="22" t="str">
        <x:v>CX25</x:v>
      </x:c>
      <x:c r="O170" s="22" t="n">
        <x:v>1</x:v>
      </x:c>
      <x:c r="P170" s="28" t="str">
        <x:f>"326 | 327"</x:f>
        <x:v>326 | 327</x:v>
      </x:c>
      <x:c r="Q170" s="28" t="str">
        <x:f>"L120003 | CL20001"</x:f>
        <x:v>L120003 | CL20001</x:v>
      </x:c>
    </x:row>
    <x:row r="171">
      <x:c r="A171" s="22" t="n">
        <x:v>167</x:v>
      </x:c>
      <x:c r="B171" s="28" t="str">
        <x:f>"CIM0001"</x:f>
        <x:v>CIM0001</x:v>
      </x:c>
      <x:c r="C171" s="22" t="str">
        <x:v>COBERTURA ESTERIL DE MESA AUXILIAR 1,30X1,30 PION G CX/80</x:v>
      </x:c>
      <x:c r="D171" s="22" t="str">
        <x:v>COBERTURA ESTERIL MESA AUXILIAR</x:v>
      </x:c>
      <x:c r="E171" s="22" t="str">
        <x:v>COBERTURA ESTERIL MESA</x:v>
      </x:c>
      <x:c r="F171" s="22" t="str"/>
      <x:c r="G171" s="22" t="str">
        <x:v>1,30X1,30</x:v>
      </x:c>
      <x:c r="H171" s="22" t="str">
        <x:v>CX/80 | CX | CONTEUDO80 | FATOR80</x:v>
      </x:c>
      <x:c r="I171" s="22" t="str">
        <x:v>CAIXA</x:v>
      </x:c>
      <x:c r="J171" s="22" t="str">
        <x:v>PION G</x:v>
      </x:c>
      <x:c r="K171" s="28" t="str">
        <x:f>"GTIN: 07898330280925"</x:f>
        <x:v>GTIN: 07898330280925</x:v>
      </x:c>
      <x:c r="L171" s="28" t="str">
        <x:f>"30059090"</x:f>
        <x:v>30059090</x:v>
      </x:c>
      <x:c r="M171" s="22" t="str">
        <x:v>UN</x:v>
      </x:c>
      <x:c r="N171" s="22" t="str">
        <x:v>CX</x:v>
      </x:c>
      <x:c r="O171" s="22" t="n">
        <x:v>80</x:v>
      </x:c>
      <x:c r="P171" s="28" t="str">
        <x:f>"328"</x:f>
        <x:v>328</x:v>
      </x:c>
      <x:c r="Q171" s="28" t="str">
        <x:f>"CIM0001"</x:f>
        <x:v>CIM0001</x:v>
      </x:c>
    </x:row>
    <x:row r="172">
      <x:c r="A172" s="22" t="n">
        <x:v>168</x:v>
      </x:c>
      <x:c r="B172" s="28" t="str">
        <x:f>"CMM0001"</x:f>
        <x:v>CMM0001</x:v>
      </x:c>
      <x:c r="C172" s="22" t="str">
        <x:v>COBERTURA ESTÉRIL DE MESA MAYO 0,60X 1,30M COM REFORÇO - CX/150 - PION G</x:v>
      </x:c>
      <x:c r="D172" s="22" t="str">
        <x:v>COBERTURA ESTERIL MESA MAYO 30M COM REFORCO</x:v>
      </x:c>
      <x:c r="E172" s="22" t="str">
        <x:v>COBERTURA ESTERIL MESA</x:v>
      </x:c>
      <x:c r="F172" s="22" t="str"/>
      <x:c r="G172" s="22" t="str">
        <x:v>0,60X1</x:v>
      </x:c>
      <x:c r="H172" s="22" t="str">
        <x:v>CX/150 | CX | CONTEUDO150 | FATOR150</x:v>
      </x:c>
      <x:c r="I172" s="22" t="str">
        <x:v>CAIXA</x:v>
      </x:c>
      <x:c r="J172" s="22" t="str">
        <x:v>PION G</x:v>
      </x:c>
      <x:c r="K172" s="28" t="str"/>
      <x:c r="L172" s="28" t="str">
        <x:f>"30059020"</x:f>
        <x:v>30059020</x:v>
      </x:c>
      <x:c r="M172" s="22" t="str">
        <x:v>UN</x:v>
      </x:c>
      <x:c r="N172" s="22" t="str">
        <x:v>CX</x:v>
      </x:c>
      <x:c r="O172" s="22" t="n">
        <x:v>150</x:v>
      </x:c>
      <x:c r="P172" s="28" t="str">
        <x:f>"329"</x:f>
        <x:v>329</x:v>
      </x:c>
      <x:c r="Q172" s="28" t="str">
        <x:f>"CMM0001"</x:f>
        <x:v>CMM0001</x:v>
      </x:c>
    </x:row>
    <x:row r="173">
      <x:c r="A173" s="22" t="n">
        <x:v>169</x:v>
      </x:c>
      <x:c r="B173" s="28" t="str">
        <x:f>"C0+0001"</x:f>
        <x:v>C0+0001</x:v>
      </x:c>
      <x:c r="C173" s="22" t="str">
        <x:v>COLAGENASE 0,6U/G + CLORANFENICOL 0,01G/G 30G - CRISTÁLIA</x:v>
      </x:c>
      <x:c r="D173" s="22" t="str">
        <x:v>COLAGENASE G + CLORANFENICOL G</x:v>
      </x:c>
      <x:c r="E173" s="22" t="str">
        <x:v>COLAGENASE G CLORANFENICOL</x:v>
      </x:c>
      <x:c r="F173" s="22" t="str">
        <x:v>0,6U | 0,01G | 30G</x:v>
      </x:c>
      <x:c r="G173" s="22" t="str">
        <x:v>01G | 30G</x:v>
      </x:c>
      <x:c r="H173" s="22" t="str">
        <x:v>UN</x:v>
      </x:c>
      <x:c r="I173" s="22" t="str">
        <x:v>UNIDADE</x:v>
      </x:c>
      <x:c r="J173" s="22" t="str">
        <x:v>CRISTÁLIA</x:v>
      </x:c>
      <x:c r="K173" s="28" t="str">
        <x:f>"GTIN: 7896676427837"</x:f>
        <x:v>GTIN: 7896676427837</x:v>
      </x:c>
      <x:c r="L173" s="28" t="str">
        <x:f>"30049019"</x:f>
        <x:v>30049019</x:v>
      </x:c>
      <x:c r="M173" s="22" t="str">
        <x:v>UN</x:v>
      </x:c>
      <x:c r="N173" s="22" t="str">
        <x:v>UN</x:v>
      </x:c>
      <x:c r="O173" s="22" t="n">
        <x:v>1</x:v>
      </x:c>
      <x:c r="P173" s="28" t="str">
        <x:f>"330 | 331"</x:f>
        <x:v>330 | 331</x:v>
      </x:c>
      <x:c r="Q173" s="28" t="str">
        <x:f>"C0+0001 | C0+0002"</x:f>
        <x:v>C0+0001 | C0+0002</x:v>
      </x:c>
    </x:row>
    <x:row r="174">
      <x:c r="A174" s="22" t="n">
        <x:v>170</x:v>
      </x:c>
      <x:c r="B174" s="28" t="str">
        <x:f>"CCO0002"</x:f>
        <x:v>CCO0002</x:v>
      </x:c>
      <x:c r="C174" s="22" t="str">
        <x:v>COLCHÃO CX DE OVO 85X185X4CM D13 - CHUMBO - ORTOBOM</x:v>
      </x:c>
      <x:c r="D174" s="22" t="str">
        <x:v>COLCHAO OVO D13 CHUMBO</x:v>
      </x:c>
      <x:c r="E174" s="22" t="str">
        <x:v>COLCHAO OVO D13</x:v>
      </x:c>
      <x:c r="F174" s="22" t="str"/>
      <x:c r="G174" s="22" t="str">
        <x:v>85X185X4CM</x:v>
      </x:c>
      <x:c r="H174" s="22" t="str">
        <x:v>CX | UND</x:v>
      </x:c>
      <x:c r="I174" s="22" t="str">
        <x:v>UNIDADE</x:v>
      </x:c>
      <x:c r="J174" s="22" t="str">
        <x:v>ORTOBOM</x:v>
      </x:c>
      <x:c r="K174" s="28" t="str"/>
      <x:c r="L174" s="28" t="str">
        <x:f>"94042900"</x:f>
        <x:v>94042900</x:v>
      </x:c>
      <x:c r="M174" s="22" t="str">
        <x:v>UND</x:v>
      </x:c>
      <x:c r="N174" s="22" t="str">
        <x:v>UND</x:v>
      </x:c>
      <x:c r="O174" s="22" t="n">
        <x:v>1</x:v>
      </x:c>
      <x:c r="P174" s="28" t="str">
        <x:f>"332"</x:f>
        <x:v>332</x:v>
      </x:c>
      <x:c r="Q174" s="28" t="str">
        <x:f>"CCO0002"</x:f>
        <x:v>CCO0002</x:v>
      </x:c>
    </x:row>
    <x:row r="175">
      <x:c r="A175" s="22" t="n">
        <x:v>171</x:v>
      </x:c>
      <x:c r="B175" s="28" t="str">
        <x:f>"CP00001"</x:f>
        <x:v>CP00001</x:v>
      </x:c>
      <x:c r="C175" s="22" t="str">
        <x:v>COLETOR DE PERFUROCORTANTE 03LT (AMARELO) - DESCARBOX</x:v>
      </x:c>
      <x:c r="D175" s="22" t="str">
        <x:v>COLETOR PERFUROCORTANTE 03LT</x:v>
      </x:c>
      <x:c r="E175" s="22" t="str">
        <x:v>COLETOR PERFUROCORTANTE 03LT</x:v>
      </x:c>
      <x:c r="F175" s="22" t="str"/>
      <x:c r="G175" s="22" t="str"/>
      <x:c r="H175" s="22" t="str">
        <x:v>UN</x:v>
      </x:c>
      <x:c r="I175" s="22" t="str">
        <x:v>UNIDADE</x:v>
      </x:c>
      <x:c r="J175" s="22" t="str">
        <x:v>DESCARBOX</x:v>
      </x:c>
      <x:c r="K175" s="28" t="str">
        <x:f>"GTIN: 7898652378911"</x:f>
        <x:v>GTIN: 7898652378911</x:v>
      </x:c>
      <x:c r="L175" s="28" t="str">
        <x:f>"48191000"</x:f>
        <x:v>48191000</x:v>
      </x:c>
      <x:c r="M175" s="22" t="str">
        <x:v>UN</x:v>
      </x:c>
      <x:c r="N175" s="22" t="str">
        <x:v>UN</x:v>
      </x:c>
      <x:c r="O175" s="22" t="n">
        <x:v>1</x:v>
      </x:c>
      <x:c r="P175" s="28" t="str">
        <x:f>"333"</x:f>
        <x:v>333</x:v>
      </x:c>
      <x:c r="Q175" s="28" t="str">
        <x:f>"CP00001"</x:f>
        <x:v>CP00001</x:v>
      </x:c>
    </x:row>
    <x:row r="176">
      <x:c r="A176" s="22" t="n">
        <x:v>172</x:v>
      </x:c>
      <x:c r="B176" s="28" t="str">
        <x:f>"CP00002"</x:f>
        <x:v>CP00002</x:v>
      </x:c>
      <x:c r="C176" s="22" t="str">
        <x:v>COLETOR DE PERFUROCORTANTE 07LT (AMARELO) CX/40 - DESCARBOX</x:v>
      </x:c>
      <x:c r="D176" s="22" t="str">
        <x:v>COLETOR PERFUROCORTANTE 07LT</x:v>
      </x:c>
      <x:c r="E176" s="22" t="str">
        <x:v>COLETOR PERFUROCORTANTE 07LT</x:v>
      </x:c>
      <x:c r="F176" s="22" t="str"/>
      <x:c r="G176" s="22" t="str"/>
      <x:c r="H176" s="22" t="str">
        <x:v>CX/40 | UN</x:v>
      </x:c>
      <x:c r="I176" s="22" t="str">
        <x:v>UNIDADE</x:v>
      </x:c>
      <x:c r="J176" s="22" t="str">
        <x:v>DESCARBOX</x:v>
      </x:c>
      <x:c r="K176" s="28" t="str">
        <x:f>"GTIN: 7898652378928"</x:f>
        <x:v>GTIN: 7898652378928</x:v>
      </x:c>
      <x:c r="L176" s="28" t="str">
        <x:f>"48191000"</x:f>
        <x:v>48191000</x:v>
      </x:c>
      <x:c r="M176" s="22" t="str">
        <x:v>UN</x:v>
      </x:c>
      <x:c r="N176" s="22" t="str">
        <x:v>UN</x:v>
      </x:c>
      <x:c r="O176" s="22" t="n">
        <x:v>1</x:v>
      </x:c>
      <x:c r="P176" s="28" t="str">
        <x:f>"334"</x:f>
        <x:v>334</x:v>
      </x:c>
      <x:c r="Q176" s="28" t="str">
        <x:f>"CP00002"</x:f>
        <x:v>CP00002</x:v>
      </x:c>
    </x:row>
    <x:row r="177">
      <x:c r="A177" s="22" t="n">
        <x:v>173</x:v>
      </x:c>
      <x:c r="B177" s="28" t="str">
        <x:f>"CUS0004"</x:f>
        <x:v>CUS0004</x:v>
      </x:c>
      <x:c r="C177" s="22" t="str">
        <x:v>COLETOR DE URINA SIST. FECHADO 2000ML BOLSA C/P COLETA ESTERIL - CX/90 - LABOR IMPORT</x:v>
      </x:c>
      <x:c r="D177" s="22" t="str">
        <x:v>COLETOR URINA SIST FECHADO P COLETA ESTERIL</x:v>
      </x:c>
      <x:c r="E177" s="22" t="str">
        <x:v>COLETOR URINA SIST</x:v>
      </x:c>
      <x:c r="F177" s="22" t="str">
        <x:v>2000ML</x:v>
      </x:c>
      <x:c r="G177" s="22" t="str"/>
      <x:c r="H177" s="22" t="str">
        <x:v>BOLSA | CX/90 | CX | CONTEUDO90 | FATOR90</x:v>
      </x:c>
      <x:c r="I177" s="22" t="str">
        <x:v>CAIXA</x:v>
      </x:c>
      <x:c r="J177" s="22" t="str">
        <x:v>LABOR IMPORT</x:v>
      </x:c>
      <x:c r="K177" s="28" t="str">
        <x:f>"GTIN: 7899780174079"</x:f>
        <x:v>GTIN: 7899780174079</x:v>
      </x:c>
      <x:c r="L177" s="28" t="str">
        <x:f>"39269030"</x:f>
        <x:v>39269030</x:v>
      </x:c>
      <x:c r="M177" s="22" t="str">
        <x:v>UN</x:v>
      </x:c>
      <x:c r="N177" s="22" t="str">
        <x:v>CX</x:v>
      </x:c>
      <x:c r="O177" s="22" t="n">
        <x:v>90</x:v>
      </x:c>
      <x:c r="P177" s="28" t="str">
        <x:f>"335"</x:f>
        <x:v>335</x:v>
      </x:c>
      <x:c r="Q177" s="28" t="str">
        <x:f>"CUS0004"</x:f>
        <x:v>CUS0004</x:v>
      </x:c>
    </x:row>
    <x:row r="178">
      <x:c r="A178" s="22" t="n">
        <x:v>174</x:v>
      </x:c>
      <x:c r="B178" s="28" t="str">
        <x:f>"CUS0005"</x:f>
        <x:v>CUS0005</x:v>
      </x:c>
      <x:c r="C178" s="22" t="str">
        <x:v>COLETOR DE URINA SIST. FECHADO 2000ML BOLSA C/P COLETA ESTERIL - MEDIX - CX/100</x:v>
      </x:c>
      <x:c r="D178" s="22" t="str">
        <x:v>COLETOR URINA SIST FECHADO P COLETA ESTERIL</x:v>
      </x:c>
      <x:c r="E178" s="22" t="str">
        <x:v>COLETOR URINA SIST</x:v>
      </x:c>
      <x:c r="F178" s="22" t="str">
        <x:v>2000ML</x:v>
      </x:c>
      <x:c r="G178" s="22" t="str"/>
      <x:c r="H178" s="22" t="str">
        <x:v>BOLSA | CX/100 | CX | CONTEUDO100 | FATOR100</x:v>
      </x:c>
      <x:c r="I178" s="22" t="str">
        <x:v>CAIXA</x:v>
      </x:c>
      <x:c r="J178" s="22" t="str">
        <x:v>MEDIX</x:v>
      </x:c>
      <x:c r="K178" s="28" t="str">
        <x:f>"GTIN: 7898563792165"</x:f>
        <x:v>GTIN: 7898563792165</x:v>
      </x:c>
      <x:c r="L178" s="28" t="str">
        <x:f>"39269030"</x:f>
        <x:v>39269030</x:v>
      </x:c>
      <x:c r="M178" s="22" t="str">
        <x:v>UN</x:v>
      </x:c>
      <x:c r="N178" s="22" t="str">
        <x:v>CX</x:v>
      </x:c>
      <x:c r="O178" s="22" t="n">
        <x:v>100</x:v>
      </x:c>
      <x:c r="P178" s="28" t="str">
        <x:f>"336"</x:f>
        <x:v>336</x:v>
      </x:c>
      <x:c r="Q178" s="28" t="str">
        <x:f>"CUS0005"</x:f>
        <x:v>CUS0005</x:v>
      </x:c>
    </x:row>
    <x:row r="179">
      <x:c r="A179" s="22" t="n">
        <x:v>175</x:v>
      </x:c>
      <x:c r="B179" s="28" t="str">
        <x:f>"CG70004"</x:f>
        <x:v>CG70004</x:v>
      </x:c>
      <x:c r="C179" s="22" t="str">
        <x:v>COMPRESSAS DE GAZE 7,5 X 7,5 09 FIOS LÍVIA ESTERIL - PCT/10 - AMED</x:v>
      </x:c>
      <x:c r="D179" s="22" t="str">
        <x:v>COMPRESSAS GAZE LIVIA ESTERIL</x:v>
      </x:c>
      <x:c r="E179" s="22" t="str">
        <x:v>COMPRESSAS GAZE LIVIA</x:v>
      </x:c>
      <x:c r="F179" s="22" t="str"/>
      <x:c r="G179" s="22" t="str">
        <x:v>7,5X7,5 | 09FIOS</x:v>
      </x:c>
      <x:c r="H179" s="22" t="str">
        <x:v>PCT/10 | PCT | CONTEUDO10 | FATOR10</x:v>
      </x:c>
      <x:c r="I179" s="22" t="str">
        <x:v>OUTRA</x:v>
      </x:c>
      <x:c r="J179" s="22" t="str">
        <x:v>AMED</x:v>
      </x:c>
      <x:c r="K179" s="28" t="str">
        <x:f>"GTIN: 7898125712150"</x:f>
        <x:v>GTIN: 7898125712150</x:v>
      </x:c>
      <x:c r="L179" s="28" t="str">
        <x:f>"30059090"</x:f>
        <x:v>30059090</x:v>
      </x:c>
      <x:c r="M179" s="22" t="str">
        <x:v>UN</x:v>
      </x:c>
      <x:c r="N179" s="22" t="str">
        <x:v>PCT</x:v>
      </x:c>
      <x:c r="O179" s="22" t="n">
        <x:v>10</x:v>
      </x:c>
      <x:c r="P179" s="28" t="str">
        <x:f>"337"</x:f>
        <x:v>337</x:v>
      </x:c>
      <x:c r="Q179" s="28" t="str">
        <x:f>"CG70004"</x:f>
        <x:v>CG70004</x:v>
      </x:c>
    </x:row>
    <x:row r="180">
      <x:c r="A180" s="22" t="n">
        <x:v>176</x:v>
      </x:c>
      <x:c r="B180" s="28" t="str">
        <x:f>"CG70008"</x:f>
        <x:v>CG70008</x:v>
      </x:c>
      <x:c r="C180" s="22" t="str">
        <x:v>COMPRESSAS DE GAZE 7,5 X 7,5 11 FIOS ESTERIL - PCT/5 - AMED</x:v>
      </x:c>
      <x:c r="D180" s="22" t="str">
        <x:v>COMPRESSAS GAZE ESTERIL</x:v>
      </x:c>
      <x:c r="E180" s="22" t="str">
        <x:v>COMPRESSAS GAZE ESTERIL</x:v>
      </x:c>
      <x:c r="F180" s="22" t="str"/>
      <x:c r="G180" s="22" t="str">
        <x:v>7,5X7,5 | 11FIOS</x:v>
      </x:c>
      <x:c r="H180" s="22" t="str">
        <x:v>PCT/5 | PCT | CONTEUDO5 | FATOR5</x:v>
      </x:c>
      <x:c r="I180" s="22" t="str">
        <x:v>OUTRA</x:v>
      </x:c>
      <x:c r="J180" s="22" t="str">
        <x:v>AMED</x:v>
      </x:c>
      <x:c r="K180" s="28" t="str"/>
      <x:c r="L180" s="28" t="str">
        <x:f>"30059090"</x:f>
        <x:v>30059090</x:v>
      </x:c>
      <x:c r="M180" s="22" t="str">
        <x:v>UN</x:v>
      </x:c>
      <x:c r="N180" s="22" t="str">
        <x:v>PCT</x:v>
      </x:c>
      <x:c r="O180" s="22" t="n">
        <x:v>5</x:v>
      </x:c>
      <x:c r="P180" s="28" t="str">
        <x:f>"338"</x:f>
        <x:v>338</x:v>
      </x:c>
      <x:c r="Q180" s="28" t="str">
        <x:f>"CG70008"</x:f>
        <x:v>CG70008</x:v>
      </x:c>
    </x:row>
    <x:row r="181">
      <x:c r="A181" s="22" t="n">
        <x:v>177</x:v>
      </x:c>
      <x:c r="B181" s="28" t="str">
        <x:f>"CG70002"</x:f>
        <x:v>CG70002</x:v>
      </x:c>
      <x:c r="C181" s="22" t="str">
        <x:v>COMPRESSAS DE GAZE 7,5 X 7,5 11 FIOS ESTERIL - PCT/5 - BELA INDUS</x:v>
      </x:c>
      <x:c r="D181" s="22" t="str">
        <x:v>COMPRESSAS GAZE ESTERIL</x:v>
      </x:c>
      <x:c r="E181" s="22" t="str">
        <x:v>COMPRESSAS GAZE ESTERIL</x:v>
      </x:c>
      <x:c r="F181" s="22" t="str"/>
      <x:c r="G181" s="22" t="str">
        <x:v>7,5X7,5 | 11FIOS</x:v>
      </x:c>
      <x:c r="H181" s="22" t="str">
        <x:v>PCT/5 | PCT | CONTEUDO5 | FATOR5</x:v>
      </x:c>
      <x:c r="I181" s="22" t="str">
        <x:v>OUTRA</x:v>
      </x:c>
      <x:c r="J181" s="22" t="str">
        <x:v>BELA INDUS</x:v>
      </x:c>
      <x:c r="K181" s="28" t="str"/>
      <x:c r="L181" s="28" t="str">
        <x:f>"30059090"</x:f>
        <x:v>30059090</x:v>
      </x:c>
      <x:c r="M181" s="22" t="str">
        <x:v>UN</x:v>
      </x:c>
      <x:c r="N181" s="22" t="str">
        <x:v>PCT</x:v>
      </x:c>
      <x:c r="O181" s="22" t="n">
        <x:v>5</x:v>
      </x:c>
      <x:c r="P181" s="28" t="str">
        <x:f>"339"</x:f>
        <x:v>339</x:v>
      </x:c>
      <x:c r="Q181" s="28" t="str">
        <x:f>"CG70002"</x:f>
        <x:v>CG70002</x:v>
      </x:c>
    </x:row>
    <x:row r="182">
      <x:c r="A182" s="22" t="n">
        <x:v>178</x:v>
      </x:c>
      <x:c r="B182" s="28" t="str">
        <x:f>"CG70003"</x:f>
        <x:v>CG70003</x:v>
      </x:c>
      <x:c r="C182" s="22" t="str">
        <x:v>COMPRESSAS DE GAZE 7,5 X 7,5 11 FIOS ESTERIL LIVIA - PCT/10 - AMED</x:v>
      </x:c>
      <x:c r="D182" s="22" t="str">
        <x:v>COMPRESSAS GAZE ESTERIL LIVIA</x:v>
      </x:c>
      <x:c r="E182" s="22" t="str">
        <x:v>COMPRESSAS GAZE ESTERIL</x:v>
      </x:c>
      <x:c r="F182" s="22" t="str"/>
      <x:c r="G182" s="22" t="str">
        <x:v>7,5X7,5 | 11FIOS</x:v>
      </x:c>
      <x:c r="H182" s="22" t="str">
        <x:v>PCT/10 | PCT | CONTEUDO10 | FATOR10</x:v>
      </x:c>
      <x:c r="I182" s="22" t="str">
        <x:v>OUTRA</x:v>
      </x:c>
      <x:c r="J182" s="22" t="str">
        <x:v>AMED</x:v>
      </x:c>
      <x:c r="K182" s="28" t="str"/>
      <x:c r="L182" s="28" t="str">
        <x:f>"30059090"</x:f>
        <x:v>30059090</x:v>
      </x:c>
      <x:c r="M182" s="22" t="str">
        <x:v>UN</x:v>
      </x:c>
      <x:c r="N182" s="22" t="str">
        <x:v>PCT</x:v>
      </x:c>
      <x:c r="O182" s="22" t="n">
        <x:v>10</x:v>
      </x:c>
      <x:c r="P182" s="28" t="str">
        <x:f>"340"</x:f>
        <x:v>340</x:v>
      </x:c>
      <x:c r="Q182" s="28" t="str">
        <x:f>"CG70003"</x:f>
        <x:v>CG70003</x:v>
      </x:c>
    </x:row>
    <x:row r="183">
      <x:c r="A183" s="22" t="n">
        <x:v>179</x:v>
      </x:c>
      <x:c r="B183" s="28" t="str">
        <x:f>"CG70006"</x:f>
        <x:v>CG70006</x:v>
      </x:c>
      <x:c r="C183" s="22" t="str">
        <x:v>COMPRESSAS DE GAZE 7,5 X 7,5 13 FIOS ESTERIL - PCT/05 - NEVE</x:v>
      </x:c>
      <x:c r="D183" s="22" t="str">
        <x:v>COMPRESSAS GAZE ESTERIL</x:v>
      </x:c>
      <x:c r="E183" s="22" t="str">
        <x:v>COMPRESSAS GAZE ESTERIL</x:v>
      </x:c>
      <x:c r="F183" s="22" t="str"/>
      <x:c r="G183" s="22" t="str">
        <x:v>7,5X7,5 | 13FIOS</x:v>
      </x:c>
      <x:c r="H183" s="22" t="str">
        <x:v>PCT/05 | PCT | CONTEUDO5 | FATOR5</x:v>
      </x:c>
      <x:c r="I183" s="22" t="str">
        <x:v>OUTRA</x:v>
      </x:c>
      <x:c r="J183" s="22" t="str">
        <x:v>NEVE</x:v>
      </x:c>
      <x:c r="K183" s="28" t="str">
        <x:f>"GTIN: 7898125712174"</x:f>
        <x:v>GTIN: 7898125712174</x:v>
      </x:c>
      <x:c r="L183" s="28" t="str">
        <x:f>"30059090"</x:f>
        <x:v>30059090</x:v>
      </x:c>
      <x:c r="M183" s="22" t="str">
        <x:v>UN</x:v>
      </x:c>
      <x:c r="N183" s="22" t="str">
        <x:v>PCT</x:v>
      </x:c>
      <x:c r="O183" s="22" t="n">
        <x:v>5</x:v>
      </x:c>
      <x:c r="P183" s="28" t="str">
        <x:f>"341"</x:f>
        <x:v>341</x:v>
      </x:c>
      <x:c r="Q183" s="28" t="str">
        <x:f>"CG70006"</x:f>
        <x:v>CG70006</x:v>
      </x:c>
    </x:row>
    <x:row r="184">
      <x:c r="A184" s="22" t="n">
        <x:v>180</x:v>
      </x:c>
      <x:c r="B184" s="28" t="str">
        <x:f>"CG70009"</x:f>
        <x:v>CG70009</x:v>
      </x:c>
      <x:c r="C184" s="22" t="str">
        <x:v>COMPRESSAS DE GAZE 7,5 X 7,5 13 FIOS ESTERIL - PCT/10 - FORTCLEAN</x:v>
      </x:c>
      <x:c r="D184" s="22" t="str">
        <x:v>COMPRESSAS GAZE ESTERIL</x:v>
      </x:c>
      <x:c r="E184" s="22" t="str">
        <x:v>COMPRESSAS GAZE ESTERIL</x:v>
      </x:c>
      <x:c r="F184" s="22" t="str"/>
      <x:c r="G184" s="22" t="str">
        <x:v>7,5X7,5 | 13FIOS</x:v>
      </x:c>
      <x:c r="H184" s="22" t="str">
        <x:v>PCT/10 | PCT | CONTEUDO10 | FATOR10</x:v>
      </x:c>
      <x:c r="I184" s="22" t="str">
        <x:v>OUTRA</x:v>
      </x:c>
      <x:c r="J184" s="22" t="str">
        <x:v>FORTCLEAN</x:v>
      </x:c>
      <x:c r="K184" s="28" t="str">
        <x:f>"GTIN: 7898125712174"</x:f>
        <x:v>GTIN: 7898125712174</x:v>
      </x:c>
      <x:c r="L184" s="28" t="str">
        <x:f>"30059090"</x:f>
        <x:v>30059090</x:v>
      </x:c>
      <x:c r="M184" s="22" t="str">
        <x:v>UN</x:v>
      </x:c>
      <x:c r="N184" s="22" t="str">
        <x:v>PCT</x:v>
      </x:c>
      <x:c r="O184" s="22" t="n">
        <x:v>10</x:v>
      </x:c>
      <x:c r="P184" s="28" t="str">
        <x:f>"342"</x:f>
        <x:v>342</x:v>
      </x:c>
      <x:c r="Q184" s="28" t="str">
        <x:f>"CG70009"</x:f>
        <x:v>CG70009</x:v>
      </x:c>
    </x:row>
    <x:row r="185">
      <x:c r="A185" s="22" t="n">
        <x:v>181</x:v>
      </x:c>
      <x:c r="B185" s="28" t="str">
        <x:f>"CG70001"</x:f>
        <x:v>CG70001</x:v>
      </x:c>
      <x:c r="C185" s="22" t="str">
        <x:v>COMPRESSAS DE GAZE 7,5 X 7,5 13 FIOS ESTERIL - PCT/10- AMED</x:v>
      </x:c>
      <x:c r="D185" s="22" t="str">
        <x:v>COMPRESSAS GAZE ESTERIL</x:v>
      </x:c>
      <x:c r="E185" s="22" t="str">
        <x:v>COMPRESSAS GAZE ESTERIL</x:v>
      </x:c>
      <x:c r="F185" s="22" t="str"/>
      <x:c r="G185" s="22" t="str">
        <x:v>7,5X7,5 | 13FIOS</x:v>
      </x:c>
      <x:c r="H185" s="22" t="str">
        <x:v>PCT/10 | PCT | CONTEUDO10 | FATOR10</x:v>
      </x:c>
      <x:c r="I185" s="22" t="str">
        <x:v>OUTRA</x:v>
      </x:c>
      <x:c r="J185" s="22" t="str">
        <x:v>AMED</x:v>
      </x:c>
      <x:c r="K185" s="28" t="str"/>
      <x:c r="L185" s="28" t="str">
        <x:f>"30059090"</x:f>
        <x:v>30059090</x:v>
      </x:c>
      <x:c r="M185" s="22" t="str">
        <x:v>UN</x:v>
      </x:c>
      <x:c r="N185" s="22" t="str">
        <x:v>PCT</x:v>
      </x:c>
      <x:c r="O185" s="22" t="n">
        <x:v>10</x:v>
      </x:c>
      <x:c r="P185" s="28" t="str">
        <x:f>"343"</x:f>
        <x:v>343</x:v>
      </x:c>
      <x:c r="Q185" s="28" t="str">
        <x:f>"CG70001"</x:f>
        <x:v>CG70001</x:v>
      </x:c>
    </x:row>
    <x:row r="186">
      <x:c r="A186" s="22" t="n">
        <x:v>182</x:v>
      </x:c>
      <x:c r="B186" s="28" t="str">
        <x:f>"CG70005"</x:f>
        <x:v>CG70005</x:v>
      </x:c>
      <x:c r="C186" s="22" t="str">
        <x:v>COMPRESSAS DE GAZE 7,5 X 7,5 13 FIOS ESTERIL LIVIA - PCT/10 - AMED</x:v>
      </x:c>
      <x:c r="D186" s="22" t="str">
        <x:v>COMPRESSAS GAZE ESTERIL LIVIA</x:v>
      </x:c>
      <x:c r="E186" s="22" t="str">
        <x:v>COMPRESSAS GAZE ESTERIL</x:v>
      </x:c>
      <x:c r="F186" s="22" t="str"/>
      <x:c r="G186" s="22" t="str">
        <x:v>7,5X7,5 | 13FIOS</x:v>
      </x:c>
      <x:c r="H186" s="22" t="str">
        <x:v>PCT/10 | PCT | CONTEUDO10 | FATOR10</x:v>
      </x:c>
      <x:c r="I186" s="22" t="str">
        <x:v>OUTRA</x:v>
      </x:c>
      <x:c r="J186" s="22" t="str">
        <x:v>AMED</x:v>
      </x:c>
      <x:c r="K186" s="28" t="str">
        <x:f>"GTIN: 7898172869883"</x:f>
        <x:v>GTIN: 7898172869883</x:v>
      </x:c>
      <x:c r="L186" s="28" t="str">
        <x:f>"30059090"</x:f>
        <x:v>30059090</x:v>
      </x:c>
      <x:c r="M186" s="22" t="str">
        <x:v>UN</x:v>
      </x:c>
      <x:c r="N186" s="22" t="str">
        <x:v>PCT</x:v>
      </x:c>
      <x:c r="O186" s="22" t="n">
        <x:v>10</x:v>
      </x:c>
      <x:c r="P186" s="28" t="str">
        <x:f>"344"</x:f>
        <x:v>344</x:v>
      </x:c>
      <x:c r="Q186" s="28" t="str">
        <x:f>"CG70005"</x:f>
        <x:v>CG70005</x:v>
      </x:c>
    </x:row>
    <x:row r="187">
      <x:c r="A187" s="22" t="n">
        <x:v>183</x:v>
      </x:c>
      <x:c r="B187" s="28" t="str">
        <x:f>"CGH0001"</x:f>
        <x:v>CGH0001</x:v>
      </x:c>
      <x:c r="C187" s="22" t="str">
        <x:v>COMPRESSAS DE GAZE HIDROFILA 7,5CM X 7,5CM 9FIOS - IRIS - PCT/500 - CREMMER</x:v>
      </x:c>
      <x:c r="D187" s="22" t="str">
        <x:v>COMPRESSAS GAZE HIDROFILA X IRIS CREMMER</x:v>
      </x:c>
      <x:c r="E187" s="22" t="str">
        <x:v>COMPRESSAS GAZE HIDROFILA</x:v>
      </x:c>
      <x:c r="F187" s="22" t="str"/>
      <x:c r="G187" s="22" t="str">
        <x:v>9FIOS</x:v>
      </x:c>
      <x:c r="H187" s="22" t="str">
        <x:v>PCT/500 | PCT | CONTEUDO50 | FATOR50</x:v>
      </x:c>
      <x:c r="I187" s="22" t="str">
        <x:v>OUTRA</x:v>
      </x:c>
      <x:c r="J187" s="22" t="str">
        <x:v>CREMER</x:v>
      </x:c>
      <x:c r="K187" s="28" t="str">
        <x:f>"GTIN: 7891800001426"</x:f>
        <x:v>GTIN: 7891800001426</x:v>
      </x:c>
      <x:c r="L187" s="28" t="str">
        <x:f>"30059090"</x:f>
        <x:v>30059090</x:v>
      </x:c>
      <x:c r="M187" s="22" t="str">
        <x:v>UN</x:v>
      </x:c>
      <x:c r="N187" s="22" t="str">
        <x:v>PCT</x:v>
      </x:c>
      <x:c r="O187" s="22" t="n">
        <x:v>50</x:v>
      </x:c>
      <x:c r="P187" s="28" t="str">
        <x:f>"345"</x:f>
        <x:v>345</x:v>
      </x:c>
      <x:c r="Q187" s="28" t="str">
        <x:f>"CGH0001"</x:f>
        <x:v>CGH0001</x:v>
      </x:c>
    </x:row>
    <x:row r="188">
      <x:c r="A188" s="22" t="n">
        <x:v>184</x:v>
      </x:c>
      <x:c r="B188" s="28" t="str">
        <x:f>"CYA0001"</x:f>
        <x:v>CYA0001</x:v>
      </x:c>
      <x:c r="C188" s="22" t="str">
        <x:v>CONECTOR Y AD PSU COM FURO AUTOCLAVEL 134 PROTEC</x:v>
      </x:c>
      <x:c r="D188" s="22" t="str">
        <x:v>CONECTOR Y AD PSU COM FURO AUTOCLAVEL</x:v>
      </x:c>
      <x:c r="E188" s="22" t="str">
        <x:v>CONECTOR Y AD</x:v>
      </x:c>
      <x:c r="F188" s="22" t="str"/>
      <x:c r="G188" s="22" t="str"/>
      <x:c r="H188" s="22" t="str"/>
      <x:c r="I188" s="22" t="str">
        <x:v>OUTRA</x:v>
      </x:c>
      <x:c r="J188" s="22" t="str">
        <x:v>PROTEC</x:v>
      </x:c>
      <x:c r="K188" s="28" t="str">
        <x:f>"GTIN: 07898435789170"</x:f>
        <x:v>GTIN: 07898435789170</x:v>
      </x:c>
      <x:c r="L188" s="28" t="str">
        <x:f>"90192010"</x:f>
        <x:v>90192010</x:v>
      </x:c>
      <x:c r="M188" s="22" t="str">
        <x:v>UN</x:v>
      </x:c>
      <x:c r="N188" s="22" t="str"/>
      <x:c r="O188" s="22" t="n">
        <x:v>1</x:v>
      </x:c>
      <x:c r="P188" s="28" t="str">
        <x:f>"346"</x:f>
        <x:v>346</x:v>
      </x:c>
      <x:c r="Q188" s="28" t="str">
        <x:f>"CYA0001"</x:f>
        <x:v>CYA0001</x:v>
      </x:c>
    </x:row>
    <x:row r="189">
      <x:c r="A189" s="22" t="n">
        <x:v>185</x:v>
      </x:c>
      <x:c r="B189" s="28" t="str">
        <x:f>"CNI0007"</x:f>
        <x:v>CNI0007</x:v>
      </x:c>
      <x:c r="C189" s="22" t="str">
        <x:v>CONTRASTE NÃO IONICO 300/50ML - HENETIX</x:v>
      </x:c>
      <x:c r="D189" s="22" t="str">
        <x:v>CONTRASTE NAO IONICO HENETIX</x:v>
      </x:c>
      <x:c r="E189" s="22" t="str">
        <x:v>CONTRASTE NAO IONICO</x:v>
      </x:c>
      <x:c r="F189" s="22" t="str">
        <x:v>50ML</x:v>
      </x:c>
      <x:c r="G189" s="22" t="str"/>
      <x:c r="H189" s="22" t="str">
        <x:v>FRASCO</x:v>
      </x:c>
      <x:c r="I189" s="22" t="str">
        <x:v>FRASCO</x:v>
      </x:c>
      <x:c r="J189" s="22" t="str">
        <x:v>HENITIX</x:v>
      </x:c>
      <x:c r="K189" s="28" t="str"/>
      <x:c r="L189" s="28" t="str">
        <x:f>"29242964"</x:f>
        <x:v>29242964</x:v>
      </x:c>
      <x:c r="M189" s="22" t="str">
        <x:v>FRASCO</x:v>
      </x:c>
      <x:c r="N189" s="22" t="str">
        <x:v>FRASCO</x:v>
      </x:c>
      <x:c r="O189" s="22" t="n">
        <x:v>1</x:v>
      </x:c>
      <x:c r="P189" s="28" t="str">
        <x:f>"347 | 348 | 349"</x:f>
        <x:v>347 | 348 | 349</x:v>
      </x:c>
      <x:c r="Q189" s="28" t="str">
        <x:f>"CNI0007 | CNI0063 | CNI0062"</x:f>
        <x:v>CNI0007 | CNI0063 | CNI0062</x:v>
      </x:c>
    </x:row>
    <x:row r="190">
      <x:c r="A190" s="22" t="n">
        <x:v>186</x:v>
      </x:c>
      <x:c r="B190" s="28" t="str">
        <x:f>"CNI0006"</x:f>
        <x:v>CNI0006</x:v>
      </x:c>
      <x:c r="C190" s="22" t="str">
        <x:v>CONTRASTE NÃO IONICO 300MG/1000ML - OMNIPAQUE</x:v>
      </x:c>
      <x:c r="D190" s="22" t="str">
        <x:v>CONTRASTE NAO IONICO</x:v>
      </x:c>
      <x:c r="E190" s="22" t="str">
        <x:v>CONTRASTE NAO IONICO</x:v>
      </x:c>
      <x:c r="F190" s="22" t="str">
        <x:v>300MG/1000ML | 300MG | 1000ML</x:v>
      </x:c>
      <x:c r="G190" s="22" t="str"/>
      <x:c r="H190" s="22" t="str">
        <x:v>CX | CONTEUDO1</x:v>
      </x:c>
      <x:c r="I190" s="22" t="str">
        <x:v>CAIXA</x:v>
      </x:c>
      <x:c r="J190" s="22" t="str">
        <x:v>OMNIPAQUE</x:v>
      </x:c>
      <x:c r="K190" s="28" t="str"/>
      <x:c r="L190" s="28" t="str">
        <x:f>"30049099"</x:f>
        <x:v>30049099</x:v>
      </x:c>
      <x:c r="M190" s="22" t="str">
        <x:v>UN</x:v>
      </x:c>
      <x:c r="N190" s="22" t="str">
        <x:v>CX</x:v>
      </x:c>
      <x:c r="O190" s="22" t="n">
        <x:v>1</x:v>
      </x:c>
      <x:c r="P190" s="28" t="str">
        <x:f>"350"</x:f>
        <x:v>350</x:v>
      </x:c>
      <x:c r="Q190" s="28" t="str">
        <x:f>"CNI0006"</x:f>
        <x:v>CNI0006</x:v>
      </x:c>
    </x:row>
    <x:row r="191">
      <x:c r="A191" s="22" t="n">
        <x:v>187</x:v>
      </x:c>
      <x:c r="B191" s="28" t="str">
        <x:f>"CNI0039"</x:f>
        <x:v>CNI0039</x:v>
      </x:c>
      <x:c r="C191" s="22" t="str">
        <x:v>CONTRASTE NÃO IONICO 300MG/100ML - GE HEALTHCARE (OMNIPAQUE)</x:v>
      </x:c>
      <x:c r="D191" s="22" t="str">
        <x:v>CONTRASTE NAO IONICO</x:v>
      </x:c>
      <x:c r="E191" s="22" t="str">
        <x:v>CONTRASTE NAO IONICO</x:v>
      </x:c>
      <x:c r="F191" s="22" t="str">
        <x:v>300MG/100ML | 300MG | 100ML</x:v>
      </x:c>
      <x:c r="G191" s="22" t="str"/>
      <x:c r="H191" s="22" t="str">
        <x:v>CX | CONTEUDO1</x:v>
      </x:c>
      <x:c r="I191" s="22" t="str">
        <x:v>CAIXA</x:v>
      </x:c>
      <x:c r="J191" s="22" t="str">
        <x:v>GE HEALTHCARE</x:v>
      </x:c>
      <x:c r="K191" s="28" t="str">
        <x:f>"GTIN: 7898946550054"</x:f>
        <x:v>GTIN: 7898946550054</x:v>
      </x:c>
      <x:c r="L191" s="28" t="str">
        <x:f>"30049099"</x:f>
        <x:v>30049099</x:v>
      </x:c>
      <x:c r="M191" s="22" t="str">
        <x:v>UN</x:v>
      </x:c>
      <x:c r="N191" s="22" t="str">
        <x:v>CX</x:v>
      </x:c>
      <x:c r="O191" s="22" t="n">
        <x:v>1</x:v>
      </x:c>
      <x:c r="P191" s="28" t="str">
        <x:f>"352"</x:f>
        <x:v>352</x:v>
      </x:c>
      <x:c r="Q191" s="28" t="str">
        <x:f>"CNI0039"</x:f>
        <x:v>CNI0039</x:v>
      </x:c>
    </x:row>
    <x:row r="192">
      <x:c r="A192" s="22" t="n">
        <x:v>188</x:v>
      </x:c>
      <x:c r="B192" s="28" t="str">
        <x:f>"CNI0058"</x:f>
        <x:v>CNI0058</x:v>
      </x:c>
      <x:c r="C192" s="22" t="str">
        <x:v>CONTRASTE NÃO IONICO 300MG/100ML - OMNIPAQUE</x:v>
      </x:c>
      <x:c r="D192" s="22" t="str">
        <x:v>CONTRASTE NAO IONICO</x:v>
      </x:c>
      <x:c r="E192" s="22" t="str">
        <x:v>CONTRASTE NAO IONICO</x:v>
      </x:c>
      <x:c r="F192" s="22" t="str">
        <x:v>300MG/100ML | 300MG | 100ML</x:v>
      </x:c>
      <x:c r="G192" s="22" t="str"/>
      <x:c r="H192" s="22" t="str">
        <x:v>CX | CONTEUDO1</x:v>
      </x:c>
      <x:c r="I192" s="22" t="str">
        <x:v>CAIXA</x:v>
      </x:c>
      <x:c r="J192" s="22" t="str">
        <x:v>OMNIPAQUE</x:v>
      </x:c>
      <x:c r="K192" s="28" t="str">
        <x:f>"GTIN: 7897322703329"</x:f>
        <x:v>GTIN: 7897322703329</x:v>
      </x:c>
      <x:c r="L192" s="28" t="str">
        <x:f>"30049099"</x:f>
        <x:v>30049099</x:v>
      </x:c>
      <x:c r="M192" s="22" t="str">
        <x:v>UN</x:v>
      </x:c>
      <x:c r="N192" s="22" t="str">
        <x:v>CX</x:v>
      </x:c>
      <x:c r="O192" s="22" t="n">
        <x:v>1</x:v>
      </x:c>
      <x:c r="P192" s="28" t="str">
        <x:f>"351"</x:f>
        <x:v>351</x:v>
      </x:c>
      <x:c r="Q192" s="28" t="str">
        <x:f>"CNI0058"</x:f>
        <x:v>CNI0058</x:v>
      </x:c>
    </x:row>
    <x:row r="193">
      <x:c r="A193" s="22" t="n">
        <x:v>189</x:v>
      </x:c>
      <x:c r="B193" s="28" t="str">
        <x:f>"CNI0002"</x:f>
        <x:v>CNI0002</x:v>
      </x:c>
      <x:c r="C193" s="22" t="str">
        <x:v>CONTRASTE NÃO IONICO 300MG/50ML - OMNIPAQUE</x:v>
      </x:c>
      <x:c r="D193" s="22" t="str">
        <x:v>CONTRASTE NAO IONICO</x:v>
      </x:c>
      <x:c r="E193" s="22" t="str">
        <x:v>CONTRASTE NAO IONICO</x:v>
      </x:c>
      <x:c r="F193" s="22" t="str">
        <x:v>300MG/50ML | 300MG | 50ML</x:v>
      </x:c>
      <x:c r="G193" s="22" t="str"/>
      <x:c r="H193" s="22" t="str">
        <x:v>CX | CONTEUDO1</x:v>
      </x:c>
      <x:c r="I193" s="22" t="str">
        <x:v>CAIXA</x:v>
      </x:c>
      <x:c r="J193" s="22" t="str">
        <x:v>OMNIPAQUE</x:v>
      </x:c>
      <x:c r="K193" s="28" t="str">
        <x:f>"GTIN: 789759590026"</x:f>
        <x:v>GTIN: 789759590026</x:v>
      </x:c>
      <x:c r="L193" s="28" t="str">
        <x:f>"30049099"</x:f>
        <x:v>30049099</x:v>
      </x:c>
      <x:c r="M193" s="22" t="str">
        <x:v>UN</x:v>
      </x:c>
      <x:c r="N193" s="22" t="str">
        <x:v>CX</x:v>
      </x:c>
      <x:c r="O193" s="22" t="n">
        <x:v>1</x:v>
      </x:c>
      <x:c r="P193" s="28" t="str">
        <x:f>"353"</x:f>
        <x:v>353</x:v>
      </x:c>
      <x:c r="Q193" s="28" t="str">
        <x:f>"CNI0002"</x:f>
        <x:v>CNI0002</x:v>
      </x:c>
    </x:row>
    <x:row r="194">
      <x:c r="A194" s="22" t="n">
        <x:v>190</x:v>
      </x:c>
      <x:c r="B194" s="28" t="str">
        <x:f>"CNI0004"</x:f>
        <x:v>CNI0004</x:v>
      </x:c>
      <x:c r="C194" s="22" t="str">
        <x:v>CONTRASTE NÃO IONICO HENETIX 300/100ML</x:v>
      </x:c>
      <x:c r="D194" s="22" t="str">
        <x:v>CONTRASTE NAO IONICO</x:v>
      </x:c>
      <x:c r="E194" s="22" t="str">
        <x:v>CONTRASTE NAO IONICO</x:v>
      </x:c>
      <x:c r="F194" s="22" t="str">
        <x:v>100ML</x:v>
      </x:c>
      <x:c r="G194" s="22" t="str"/>
      <x:c r="H194" s="22" t="str">
        <x:v>FRASCO</x:v>
      </x:c>
      <x:c r="I194" s="22" t="str">
        <x:v>FRASCO</x:v>
      </x:c>
      <x:c r="J194" s="22" t="str">
        <x:v>HENETIX</x:v>
      </x:c>
      <x:c r="K194" s="28" t="str">
        <x:f>"GTIN: 7897854900838"</x:f>
        <x:v>GTIN: 7897854900838</x:v>
      </x:c>
      <x:c r="L194" s="28" t="str">
        <x:f>"30049099"</x:f>
        <x:v>30049099</x:v>
      </x:c>
      <x:c r="M194" s="22" t="str">
        <x:v>FRASCO</x:v>
      </x:c>
      <x:c r="N194" s="22" t="str">
        <x:v>FRASCO</x:v>
      </x:c>
      <x:c r="O194" s="22" t="n">
        <x:v>1</x:v>
      </x:c>
      <x:c r="P194" s="28" t="str">
        <x:f>"354 | 355 | 356"</x:f>
        <x:v>354 | 355 | 356</x:v>
      </x:c>
      <x:c r="Q194" s="28" t="str">
        <x:f>"CNI0004 | CNI0001 | CNI0003"</x:f>
        <x:v>CNI0004 | CNI0001 | CNI0003</x:v>
      </x:c>
    </x:row>
    <x:row r="195">
      <x:c r="A195" s="22" t="n">
        <x:v>191</x:v>
      </x:c>
      <x:c r="B195" s="28" t="str">
        <x:f>"CNI0018"</x:f>
        <x:v>CNI0018</x:v>
      </x:c>
      <x:c r="C195" s="22" t="str">
        <x:v>CONTRASTE NÃO IONICO HENETIX 350/100ML</x:v>
      </x:c>
      <x:c r="D195" s="22" t="str">
        <x:v>CONTRASTE NAO IONICO</x:v>
      </x:c>
      <x:c r="E195" s="22" t="str">
        <x:v>CONTRASTE NAO IONICO</x:v>
      </x:c>
      <x:c r="F195" s="22" t="str">
        <x:v>100ML</x:v>
      </x:c>
      <x:c r="G195" s="22" t="str"/>
      <x:c r="H195" s="22" t="str">
        <x:v>FRASCO</x:v>
      </x:c>
      <x:c r="I195" s="22" t="str">
        <x:v>FRASCO</x:v>
      </x:c>
      <x:c r="J195" s="22" t="str">
        <x:v>HENETIX</x:v>
      </x:c>
      <x:c r="K195" s="28" t="str">
        <x:f>"GTIN: 7897854900838"</x:f>
        <x:v>GTIN: 7897854900838</x:v>
      </x:c>
      <x:c r="L195" s="28" t="str">
        <x:f>"30049099"</x:f>
        <x:v>30049099</x:v>
      </x:c>
      <x:c r="M195" s="22" t="str">
        <x:v>FRASCO</x:v>
      </x:c>
      <x:c r="N195" s="22" t="str">
        <x:v>FRASCO</x:v>
      </x:c>
      <x:c r="O195" s="22" t="n">
        <x:v>1</x:v>
      </x:c>
      <x:c r="P195" s="28" t="str">
        <x:f>"357"</x:f>
        <x:v>357</x:v>
      </x:c>
      <x:c r="Q195" s="28" t="str">
        <x:f>"CNI0018"</x:f>
        <x:v>CNI0018</x:v>
      </x:c>
    </x:row>
    <x:row r="196">
      <x:c r="A196" s="22" t="n">
        <x:v>192</x:v>
      </x:c>
      <x:c r="B196" s="28" t="str">
        <x:f>"CB60001"</x:f>
        <x:v>CB60001</x:v>
      </x:c>
      <x:c r="C196" s="22" t="str">
        <x:v>CREME BARREIRA 60G - CX/12 - PROLINK</x:v>
      </x:c>
      <x:c r="D196" s="22" t="str">
        <x:v>CREME BARREIRA</x:v>
      </x:c>
      <x:c r="E196" s="22" t="str">
        <x:v>CREME BARREIRA</x:v>
      </x:c>
      <x:c r="F196" s="22" t="str">
        <x:v>60G</x:v>
      </x:c>
      <x:c r="G196" s="22" t="str">
        <x:v>60G</x:v>
      </x:c>
      <x:c r="H196" s="22" t="str">
        <x:v>CX/12 | CX | CONTEUDO12 | FATOR12</x:v>
      </x:c>
      <x:c r="I196" s="22" t="str">
        <x:v>CAIXA</x:v>
      </x:c>
      <x:c r="J196" s="22" t="str">
        <x:v>PROLINK</x:v>
      </x:c>
      <x:c r="K196" s="28" t="str">
        <x:f>"GTIN: 7908346903838"</x:f>
        <x:v>GTIN: 7908346903838</x:v>
      </x:c>
      <x:c r="L196" s="28" t="str">
        <x:f>"33049990"</x:f>
        <x:v>33049990</x:v>
      </x:c>
      <x:c r="M196" s="22" t="str">
        <x:v>UN</x:v>
      </x:c>
      <x:c r="N196" s="22" t="str">
        <x:v>CX</x:v>
      </x:c>
      <x:c r="O196" s="22" t="n">
        <x:v>12</x:v>
      </x:c>
      <x:c r="P196" s="28" t="str">
        <x:f>"358 | 359 | 360"</x:f>
        <x:v>358 | 359 | 360</x:v>
      </x:c>
      <x:c r="Q196" s="28" t="str">
        <x:f>"CB60003 | CB60001 | CB60002"</x:f>
        <x:v>CB60003 | CB60001 | CB60002</x:v>
      </x:c>
    </x:row>
    <x:row r="197">
      <x:c r="A197" s="22" t="n">
        <x:v>193</x:v>
      </x:c>
      <x:c r="B197" s="28" t="str">
        <x:f>"C1C0001"</x:f>
        <x:v>C1C0001</x:v>
      </x:c>
      <x:c r="C197" s="22" t="str">
        <x:v>CURATIVO 10X12 CM - SMITH&amp;NEPHEW</x:v>
      </x:c>
      <x:c r="D197" s="22" t="str">
        <x:v>CURATIVO</x:v>
      </x:c>
      <x:c r="E197" s="22" t="str">
        <x:v>CURATIVO</x:v>
      </x:c>
      <x:c r="F197" s="22" t="str"/>
      <x:c r="G197" s="22" t="str">
        <x:v>10X12CM</x:v>
      </x:c>
      <x:c r="H197" s="22" t="str">
        <x:v>UN</x:v>
      </x:c>
      <x:c r="I197" s="22" t="str">
        <x:v>UNIDADE</x:v>
      </x:c>
      <x:c r="J197" s="22" t="str">
        <x:v>SMITH&amp;NEPHEW</x:v>
      </x:c>
      <x:c r="K197" s="28" t="str">
        <x:f>"GTIN: 5000223046309"</x:f>
        <x:v>GTIN: 5000223046309</x:v>
      </x:c>
      <x:c r="L197" s="28" t="str">
        <x:f>"30051010"</x:f>
        <x:v>30051010</x:v>
      </x:c>
      <x:c r="M197" s="22" t="str">
        <x:v>UN</x:v>
      </x:c>
      <x:c r="N197" s="22" t="str">
        <x:v>UN</x:v>
      </x:c>
      <x:c r="O197" s="22" t="n">
        <x:v>1</x:v>
      </x:c>
      <x:c r="P197" s="28" t="str">
        <x:f>"361 | 362 | 363"</x:f>
        <x:v>361 | 362 | 363</x:v>
      </x:c>
      <x:c r="Q197" s="28" t="str">
        <x:f>"C1C0001 | C1C0002 | C1C0003"</x:f>
        <x:v>C1C0001 | C1C0002 | C1C0003</x:v>
      </x:c>
    </x:row>
    <x:row r="198">
      <x:c r="A198" s="22" t="n">
        <x:v>194</x:v>
      </x:c>
      <x:c r="B198" s="28" t="str">
        <x:f>"C1C0004"</x:f>
        <x:v>C1C0004</x:v>
      </x:c>
      <x:c r="C198" s="22" t="str">
        <x:v>CURATIVO 10X12 CM TEGADERM - 3M</x:v>
      </x:c>
      <x:c r="D198" s="22" t="str">
        <x:v>CURATIVO TEGADERM</x:v>
      </x:c>
      <x:c r="E198" s="22" t="str">
        <x:v>CURATIVO TEGADERM</x:v>
      </x:c>
      <x:c r="F198" s="22" t="str"/>
      <x:c r="G198" s="22" t="str">
        <x:v>10X12CM</x:v>
      </x:c>
      <x:c r="H198" s="22" t="str">
        <x:v>UN</x:v>
      </x:c>
      <x:c r="I198" s="22" t="str">
        <x:v>UNIDADE</x:v>
      </x:c>
      <x:c r="J198" s="22" t="str">
        <x:v>3M</x:v>
      </x:c>
      <x:c r="K198" s="28" t="str">
        <x:f>"GTIN: 5000223046309"</x:f>
        <x:v>GTIN: 5000223046309</x:v>
      </x:c>
      <x:c r="L198" s="28" t="str">
        <x:f>"30051010"</x:f>
        <x:v>30051010</x:v>
      </x:c>
      <x:c r="M198" s="22" t="str">
        <x:v>UN</x:v>
      </x:c>
      <x:c r="N198" s="22" t="str">
        <x:v>UN</x:v>
      </x:c>
      <x:c r="O198" s="22" t="n">
        <x:v>1</x:v>
      </x:c>
      <x:c r="P198" s="28" t="str">
        <x:f>"364"</x:f>
        <x:v>364</x:v>
      </x:c>
      <x:c r="Q198" s="28" t="str">
        <x:f>"C1C0004"</x:f>
        <x:v>C1C0004</x:v>
      </x:c>
    </x:row>
    <x:row r="199">
      <x:c r="A199" s="22" t="n">
        <x:v>195</x:v>
      </x:c>
      <x:c r="B199" s="28" t="str">
        <x:f>"CBU0001"</x:f>
        <x:v>CBU0001</x:v>
      </x:c>
      <x:c r="C199" s="22" t="str">
        <x:v>CURATIVO BOTA UNNA 10,2CMX9,14M - CASEX</x:v>
      </x:c>
      <x:c r="D199" s="22" t="str">
        <x:v>CURATIVO BOTA UNNA 2CMX9 14M</x:v>
      </x:c>
      <x:c r="E199" s="22" t="str">
        <x:v>CURATIVO BOTA UNNA</x:v>
      </x:c>
      <x:c r="F199" s="22" t="str"/>
      <x:c r="G199" s="22" t="str"/>
      <x:c r="H199" s="22" t="str">
        <x:v>PC</x:v>
      </x:c>
      <x:c r="I199" s="22" t="str">
        <x:v>OUTRA</x:v>
      </x:c>
      <x:c r="J199" s="22" t="str">
        <x:v>CASEX</x:v>
      </x:c>
      <x:c r="K199" s="28" t="str">
        <x:f>"GTIN: 7898909344225"</x:f>
        <x:v>GTIN: 7898909344225</x:v>
      </x:c>
      <x:c r="L199" s="28" t="str">
        <x:f>"30051010"</x:f>
        <x:v>30051010</x:v>
      </x:c>
      <x:c r="M199" s="22" t="str">
        <x:v>PC</x:v>
      </x:c>
      <x:c r="N199" s="22" t="str">
        <x:v>PC</x:v>
      </x:c>
      <x:c r="O199" s="22" t="n">
        <x:v>1</x:v>
      </x:c>
      <x:c r="P199" s="28" t="str">
        <x:f>"365"</x:f>
        <x:v>365</x:v>
      </x:c>
      <x:c r="Q199" s="28" t="str">
        <x:f>"CBU0001"</x:f>
        <x:v>CBU0001</x:v>
      </x:c>
    </x:row>
    <x:row r="200">
      <x:c r="A200" s="22" t="n">
        <x:v>196</x:v>
      </x:c>
      <x:c r="B200" s="28" t="str">
        <x:f>"CS(0029"</x:f>
        <x:v>CS(0029</x:v>
      </x:c>
      <x:c r="C200" s="22" t="str">
        <x:v>CURATIVO HIDROCOLOIDE 10CMX10CM - CX/10 - (KANGLI DERM) VITAMEDICAL</x:v>
      </x:c>
      <x:c r="D200" s="22" t="str">
        <x:v>CURATIVO HIDROCOLOIDE 10CMX10CM</x:v>
      </x:c>
      <x:c r="E200" s="22" t="str">
        <x:v>CURATIVO HIDROCOLOIDE 10CMX10CM</x:v>
      </x:c>
      <x:c r="F200" s="22" t="str"/>
      <x:c r="G200" s="22" t="str"/>
      <x:c r="H200" s="22" t="str">
        <x:v>CX/10 | CX | CONTEUDO10 | FATOR10</x:v>
      </x:c>
      <x:c r="I200" s="22" t="str">
        <x:v>CAIXA</x:v>
      </x:c>
      <x:c r="J200" s="22" t="str">
        <x:v>VITAMEDICAL</x:v>
      </x:c>
      <x:c r="K200" s="28" t="str">
        <x:f>"GTIN: 7908119208061"</x:f>
        <x:v>GTIN: 7908119208061</x:v>
      </x:c>
      <x:c r="L200" s="28" t="str">
        <x:f>"30051030"</x:f>
        <x:v>30051030</x:v>
      </x:c>
      <x:c r="M200" s="22" t="str">
        <x:v>UN</x:v>
      </x:c>
      <x:c r="N200" s="22" t="str">
        <x:v>CX</x:v>
      </x:c>
      <x:c r="O200" s="22" t="n">
        <x:v>10</x:v>
      </x:c>
      <x:c r="P200" s="28" t="str">
        <x:f>"366"</x:f>
        <x:v>366</x:v>
      </x:c>
      <x:c r="Q200" s="28" t="str">
        <x:f>"CS(0029"</x:f>
        <x:v>CS(0029</x:v>
      </x:c>
    </x:row>
    <x:row r="201">
      <x:c r="A201" s="22" t="n">
        <x:v>197</x:v>
      </x:c>
      <x:c r="B201" s="28" t="str">
        <x:f>"CS(0002"</x:f>
        <x:v>CS(0002</x:v>
      </x:c>
      <x:c r="C201" s="22" t="str">
        <x:v>CURATIVO SURGICEL (1951) 5.1CM X 35.6CM 2INX14IN - ETHICON</x:v>
      </x:c>
      <x:c r="D201" s="22" t="str">
        <x:v>CURATIVO SURGICEL X 2INX14IN</x:v>
      </x:c>
      <x:c r="E201" s="22" t="str">
        <x:v>CURATIVO SURGICEL X</x:v>
      </x:c>
      <x:c r="F201" s="22" t="str"/>
      <x:c r="G201" s="22" t="str"/>
      <x:c r="H201" s="22" t="str">
        <x:v>ENV | CONTEUDO1</x:v>
      </x:c>
      <x:c r="I201" s="22" t="str">
        <x:v>OUTRA</x:v>
      </x:c>
      <x:c r="J201" s="22" t="str">
        <x:v>ETHICON</x:v>
      </x:c>
      <x:c r="K201" s="28" t="str">
        <x:f>"GTIN: 10705031005204"</x:f>
        <x:v>GTIN: 10705031005204</x:v>
      </x:c>
      <x:c r="L201" s="28" t="str">
        <x:f>"30051030"</x:f>
        <x:v>30051030</x:v>
      </x:c>
      <x:c r="M201" s="22" t="str">
        <x:v>UN</x:v>
      </x:c>
      <x:c r="N201" s="22" t="str">
        <x:v>ENV</x:v>
      </x:c>
      <x:c r="O201" s="22" t="n">
        <x:v>1</x:v>
      </x:c>
      <x:c r="P201" s="28" t="str">
        <x:f>"367 | 368"</x:f>
        <x:v>367 | 368</x:v>
      </x:c>
      <x:c r="Q201" s="28" t="str">
        <x:f>"CS(0002 | CS(0001"</x:f>
        <x:v>CS(0002 | CS(0001</x:v>
      </x:c>
    </x:row>
    <x:row r="202">
      <x:c r="A202" s="22" t="n">
        <x:v>198</x:v>
      </x:c>
      <x:c r="B202" s="28" t="str">
        <x:f>"CS(0038"</x:f>
        <x:v>CS(0038</x:v>
      </x:c>
      <x:c r="C202" s="22" t="str">
        <x:v>CURATIVO SURGICEL (1952) 10.2CM X 20.3CM 4X8 ETHICON</x:v>
      </x:c>
      <x:c r="D202" s="22" t="str">
        <x:v>CURATIVO SURGICEL X</x:v>
      </x:c>
      <x:c r="E202" s="22" t="str">
        <x:v>CURATIVO SURGICEL X</x:v>
      </x:c>
      <x:c r="F202" s="22" t="str"/>
      <x:c r="G202" s="22" t="str">
        <x:v>4X8</x:v>
      </x:c>
      <x:c r="H202" s="22" t="str">
        <x:v>ENV | CONTEUDO1</x:v>
      </x:c>
      <x:c r="I202" s="22" t="str">
        <x:v>OUTRA</x:v>
      </x:c>
      <x:c r="J202" s="22" t="str">
        <x:v>ETHICON</x:v>
      </x:c>
      <x:c r="K202" s="28" t="str"/>
      <x:c r="L202" s="28" t="str">
        <x:f>"30051030"</x:f>
        <x:v>30051030</x:v>
      </x:c>
      <x:c r="M202" s="22" t="str">
        <x:v>UN</x:v>
      </x:c>
      <x:c r="N202" s="22" t="str">
        <x:v>ENV</x:v>
      </x:c>
      <x:c r="O202" s="22" t="n">
        <x:v>1</x:v>
      </x:c>
      <x:c r="P202" s="28" t="str">
        <x:f>"369 | 370 | 371 | 372"</x:f>
        <x:v>369 | 370 | 371 | 372</x:v>
      </x:c>
      <x:c r="Q202" s="28" t="str">
        <x:f>"CS(0030 | CS(0035 | CS(0038 | CS(0036"</x:f>
        <x:v>CS(0030 | CS(0035 | CS(0038 | CS(0036</x:v>
      </x:c>
    </x:row>
    <x:row r="203">
      <x:c r="A203" s="22" t="n">
        <x:v>199</x:v>
      </x:c>
      <x:c r="B203" s="28" t="str">
        <x:f>"CS(0033"</x:f>
        <x:v>CS(0033</x:v>
      </x:c>
      <x:c r="C203" s="22" t="str">
        <x:v>CURATIVO SURGICEL (1952) 10.2CMX20.3CM 4X8 - ETHICON</x:v>
      </x:c>
      <x:c r="D203" s="22" t="str">
        <x:v>CURATIVO SURGICEL 2CMX20 ETHICON</x:v>
      </x:c>
      <x:c r="E203" s="22" t="str">
        <x:v>CURATIVO SURGICEL 2CMX20</x:v>
      </x:c>
      <x:c r="F203" s="22" t="str"/>
      <x:c r="G203" s="22" t="str">
        <x:v>4X8</x:v>
      </x:c>
      <x:c r="H203" s="22" t="str">
        <x:v>ENV | CONTEUDO1</x:v>
      </x:c>
      <x:c r="I203" s="22" t="str">
        <x:v>OUTRA</x:v>
      </x:c>
      <x:c r="J203" s="22" t="str">
        <x:v>SURGISEL</x:v>
      </x:c>
      <x:c r="K203" s="28" t="str"/>
      <x:c r="L203" s="28" t="str">
        <x:f>"30051030"</x:f>
        <x:v>30051030</x:v>
      </x:c>
      <x:c r="M203" s="22" t="str">
        <x:v>UN</x:v>
      </x:c>
      <x:c r="N203" s="22" t="str">
        <x:v>ENV</x:v>
      </x:c>
      <x:c r="O203" s="22" t="n">
        <x:v>1</x:v>
      </x:c>
      <x:c r="P203" s="28" t="str">
        <x:f>"373 | 374 | 375"</x:f>
        <x:v>373 | 374 | 375</x:v>
      </x:c>
      <x:c r="Q203" s="28" t="str">
        <x:f>"CS(0012 | CS(0022 | CS(0033"</x:f>
        <x:v>CS(0012 | CS(0022 | CS(0033</x:v>
      </x:c>
    </x:row>
    <x:row r="204">
      <x:c r="A204" s="22" t="n">
        <x:v>200</x:v>
      </x:c>
      <x:c r="B204" s="28" t="str">
        <x:f>"CS(0037"</x:f>
        <x:v>CS(0037</x:v>
      </x:c>
      <x:c r="C204" s="22" t="str">
        <x:v>CURATIVO SURGICEL (1953) 5.1CM X 7.6CM 2X3 ETHICON</x:v>
      </x:c>
      <x:c r="D204" s="22" t="str">
        <x:v>CURATIVO SURGICEL X</x:v>
      </x:c>
      <x:c r="E204" s="22" t="str">
        <x:v>CURATIVO SURGICEL X</x:v>
      </x:c>
      <x:c r="F204" s="22" t="str"/>
      <x:c r="G204" s="22" t="str">
        <x:v>2X3</x:v>
      </x:c>
      <x:c r="H204" s="22" t="str">
        <x:v>ENV | CONTEUDO1</x:v>
      </x:c>
      <x:c r="I204" s="22" t="str">
        <x:v>OUTRA</x:v>
      </x:c>
      <x:c r="J204" s="22" t="str">
        <x:v>ETHICON</x:v>
      </x:c>
      <x:c r="K204" s="28" t="str">
        <x:f>"GTIN: 10705031005204"</x:f>
        <x:v>GTIN: 10705031005204</x:v>
      </x:c>
      <x:c r="L204" s="28" t="str">
        <x:f>"30051030"</x:f>
        <x:v>30051030</x:v>
      </x:c>
      <x:c r="M204" s="22" t="str">
        <x:v>UN</x:v>
      </x:c>
      <x:c r="N204" s="22" t="str">
        <x:v>ENV</x:v>
      </x:c>
      <x:c r="O204" s="22" t="n">
        <x:v>1</x:v>
      </x:c>
      <x:c r="P204" s="28" t="str">
        <x:f>"376"</x:f>
        <x:v>376</x:v>
      </x:c>
      <x:c r="Q204" s="28" t="str">
        <x:f>"CS(0037"</x:f>
        <x:v>CS(0037</x:v>
      </x:c>
    </x:row>
    <x:row r="205">
      <x:c r="A205" s="22" t="n">
        <x:v>201</x:v>
      </x:c>
      <x:c r="B205" s="28" t="str">
        <x:f>"DAN0001"</x:f>
        <x:v>DAN0001</x:v>
      </x:c>
      <x:c r="C205" s="22" t="str">
        <x:v>DESINFETANTE DE ALTO NÍVEL GLUTAMAX 2% 5LT CX4GL- COSMODERMA</x:v>
      </x:c>
      <x:c r="D205" s="22" t="str">
        <x:v>DESINFETANTE ALTO NIVEL GLUTAMAX % 5LT CX4GL</x:v>
      </x:c>
      <x:c r="E205" s="22" t="str">
        <x:v>DESINFETANTE ALTO NIVEL</x:v>
      </x:c>
      <x:c r="F205" s="22" t="str"/>
      <x:c r="G205" s="22" t="str"/>
      <x:c r="H205" s="22" t="str">
        <x:v>CX4GL</x:v>
      </x:c>
      <x:c r="I205" s="22" t="str">
        <x:v>CAIXA</x:v>
      </x:c>
      <x:c r="J205" s="22" t="str">
        <x:v>COSMODERMA</x:v>
      </x:c>
      <x:c r="K205" s="28" t="str"/>
      <x:c r="L205" s="28" t="str">
        <x:f>"38089499"</x:f>
        <x:v>38089499</x:v>
      </x:c>
      <x:c r="M205" s="22" t="str">
        <x:v>CX4GL</x:v>
      </x:c>
      <x:c r="N205" s="22" t="str">
        <x:v>CX4GL</x:v>
      </x:c>
      <x:c r="O205" s="22" t="n">
        <x:v>1</x:v>
      </x:c>
      <x:c r="P205" s="28" t="str">
        <x:f>"377"</x:f>
        <x:v>377</x:v>
      </x:c>
      <x:c r="Q205" s="28" t="str">
        <x:f>"DAN0001"</x:f>
        <x:v>DAN0001</x:v>
      </x:c>
    </x:row>
    <x:row r="206">
      <x:c r="A206" s="22" t="n">
        <x:v>202</x:v>
      </x:c>
      <x:c r="B206" s="28" t="str">
        <x:f>"DPS0003"</x:f>
        <x:v>DPS0003</x:v>
      </x:c>
      <x:c r="C206" s="22" t="str">
        <x:v>DESINFETANTE FLORAL CORDEX 5L</x:v>
      </x:c>
      <x:c r="D206" s="22" t="str">
        <x:v>DESINFETANTE FLORAL</x:v>
      </x:c>
      <x:c r="E206" s="22" t="str">
        <x:v>DESINFETANTE FLORAL</x:v>
      </x:c>
      <x:c r="F206" s="22" t="str">
        <x:v>5L</x:v>
      </x:c>
      <x:c r="G206" s="22" t="str"/>
      <x:c r="H206" s="22" t="str">
        <x:v>UND</x:v>
      </x:c>
      <x:c r="I206" s="22" t="str">
        <x:v>UNIDADE</x:v>
      </x:c>
      <x:c r="J206" s="22" t="str">
        <x:v>CORDEX</x:v>
      </x:c>
      <x:c r="K206" s="28" t="str">
        <x:f>"GTIN: 789842919049"</x:f>
        <x:v>GTIN: 789842919049</x:v>
      </x:c>
      <x:c r="L206" s="28" t="str">
        <x:f>"38089419"</x:f>
        <x:v>38089419</x:v>
      </x:c>
      <x:c r="M206" s="22" t="str">
        <x:v>UND</x:v>
      </x:c>
      <x:c r="N206" s="22" t="str">
        <x:v>UND</x:v>
      </x:c>
      <x:c r="O206" s="22" t="n">
        <x:v>1</x:v>
      </x:c>
      <x:c r="P206" s="28" t="str">
        <x:f>"378"</x:f>
        <x:v>378</x:v>
      </x:c>
      <x:c r="Q206" s="28" t="str">
        <x:f>"DPS0003"</x:f>
        <x:v>DPS0003</x:v>
      </x:c>
    </x:row>
    <x:row r="207">
      <x:c r="A207" s="22" t="n">
        <x:v>203</x:v>
      </x:c>
      <x:c r="B207" s="28" t="str">
        <x:f>"DPS0002"</x:f>
        <x:v>DPS0002</x:v>
      </x:c>
      <x:c r="C207" s="22" t="str">
        <x:v>DESINFETANTE PINHO SOL 1LT</x:v>
      </x:c>
      <x:c r="D207" s="22" t="str">
        <x:v>DESINFETANTE SOL 1LT</x:v>
      </x:c>
      <x:c r="E207" s="22" t="str">
        <x:v>DESINFETANTE SOL 1LT</x:v>
      </x:c>
      <x:c r="F207" s="22" t="str"/>
      <x:c r="G207" s="22" t="str"/>
      <x:c r="H207" s="22" t="str">
        <x:v>UND</x:v>
      </x:c>
      <x:c r="I207" s="22" t="str">
        <x:v>UNIDADE</x:v>
      </x:c>
      <x:c r="J207" s="22" t="str">
        <x:v>PINHO</x:v>
      </x:c>
      <x:c r="K207" s="28" t="str">
        <x:f>"GTIN: 7898150690607"</x:f>
        <x:v>GTIN: 7898150690607</x:v>
      </x:c>
      <x:c r="L207" s="28" t="str">
        <x:f>"38089419"</x:f>
        <x:v>38089419</x:v>
      </x:c>
      <x:c r="M207" s="22" t="str">
        <x:v>UND</x:v>
      </x:c>
      <x:c r="N207" s="22" t="str">
        <x:v>UND</x:v>
      </x:c>
      <x:c r="O207" s="22" t="n">
        <x:v>1</x:v>
      </x:c>
      <x:c r="P207" s="28" t="str">
        <x:f>"379"</x:f>
        <x:v>379</x:v>
      </x:c>
      <x:c r="Q207" s="28" t="str">
        <x:f>"DPS0002"</x:f>
        <x:v>DPS0002</x:v>
      </x:c>
    </x:row>
    <x:row r="208">
      <x:c r="A208" s="22" t="n">
        <x:v>204</x:v>
      </x:c>
      <x:c r="B208" s="28" t="str">
        <x:f>"DFC0001"</x:f>
        <x:v>DFC0001</x:v>
      </x:c>
      <x:c r="C208" s="22" t="str">
        <x:v>DETERGENTE NEUTRO CLEAN CORDEX 5L</x:v>
      </x:c>
      <x:c r="D208" s="22" t="str">
        <x:v>DETERGENTE NEUTRO CLEAN</x:v>
      </x:c>
      <x:c r="E208" s="22" t="str">
        <x:v>DETERGENTE NEUTRO CLEAN</x:v>
      </x:c>
      <x:c r="F208" s="22" t="str">
        <x:v>5L</x:v>
      </x:c>
      <x:c r="G208" s="22" t="str"/>
      <x:c r="H208" s="22" t="str">
        <x:v>UND</x:v>
      </x:c>
      <x:c r="I208" s="22" t="str">
        <x:v>UNIDADE</x:v>
      </x:c>
      <x:c r="J208" s="22" t="str">
        <x:v>CORDEX</x:v>
      </x:c>
      <x:c r="K208" s="28" t="str">
        <x:f>"GTIN: 7893095116014"</x:f>
        <x:v>GTIN: 7893095116014</x:v>
      </x:c>
      <x:c r="L208" s="28" t="str">
        <x:f>"38089419"</x:f>
        <x:v>38089419</x:v>
      </x:c>
      <x:c r="M208" s="22" t="str">
        <x:v>UND</x:v>
      </x:c>
      <x:c r="N208" s="22" t="str">
        <x:v>UND</x:v>
      </x:c>
      <x:c r="O208" s="22" t="n">
        <x:v>1</x:v>
      </x:c>
      <x:c r="P208" s="28" t="str">
        <x:f>"380"</x:f>
        <x:v>380</x:v>
      </x:c>
      <x:c r="Q208" s="28" t="str">
        <x:f>"DFC0001"</x:f>
        <x:v>DFC0001</x:v>
      </x:c>
    </x:row>
    <x:row r="209">
      <x:c r="A209" s="22" t="n">
        <x:v>205</x:v>
      </x:c>
      <x:c r="B209" s="28" t="str">
        <x:f>"D(D0003"</x:f>
        <x:v>D(D0003</x:v>
      </x:c>
      <x:c r="C209" s="22" t="str">
        <x:v>DEXAMETASONA (FOSF. DISSÓDICO) 4MG/ML 2,5ML AP - FARMACE - CX/100</x:v>
      </x:c>
      <x:c r="D209" s="22" t="str">
        <x:v>DEXAMETASONA</x:v>
      </x:c>
      <x:c r="E209" s="22" t="str">
        <x:v>DEXAMETASONA</x:v>
      </x:c>
      <x:c r="F209" s="22" t="str">
        <x:v>4MG/ML | 4MG | 2,5ML</x:v>
      </x:c>
      <x:c r="G209" s="22" t="str"/>
      <x:c r="H209" s="22" t="str">
        <x:v>AP | CX/100 | UN</x:v>
      </x:c>
      <x:c r="I209" s="22" t="str">
        <x:v>UNIDADE</x:v>
      </x:c>
      <x:c r="J209" s="22" t="str">
        <x:v>FARMACE</x:v>
      </x:c>
      <x:c r="K209" s="28" t="str"/>
      <x:c r="L209" s="28" t="str">
        <x:f>"30043290"</x:f>
        <x:v>30043290</x:v>
      </x:c>
      <x:c r="M209" s="22" t="str">
        <x:v>UN</x:v>
      </x:c>
      <x:c r="N209" s="22" t="str">
        <x:v>UN</x:v>
      </x:c>
      <x:c r="O209" s="22" t="n">
        <x:v>1</x:v>
      </x:c>
      <x:c r="P209" s="28" t="str">
        <x:f>"381 | 382"</x:f>
        <x:v>381 | 382</x:v>
      </x:c>
      <x:c r="Q209" s="28" t="str">
        <x:f>"D(D0003 | D(D0001"</x:f>
        <x:v>D(D0003 | D(D0001</x:v>
      </x:c>
    </x:row>
    <x:row r="210">
      <x:c r="A210" s="22" t="n">
        <x:v>206</x:v>
      </x:c>
      <x:c r="B210" s="28" t="str">
        <x:f>"D(D0002"</x:f>
        <x:v>D(D0002</x:v>
      </x:c>
      <x:c r="C210" s="22" t="str">
        <x:v>DEXAMETASONA (FOSF. DISSÓDICO) 4MG/ML 2,5ML AP - HYPOFARMA - CX/50</x:v>
      </x:c>
      <x:c r="D210" s="22" t="str">
        <x:v>DEXAMETASONA</x:v>
      </x:c>
      <x:c r="E210" s="22" t="str">
        <x:v>DEXAMETASONA</x:v>
      </x:c>
      <x:c r="F210" s="22" t="str">
        <x:v>4MG/ML | 4MG | 2,5ML</x:v>
      </x:c>
      <x:c r="G210" s="22" t="str"/>
      <x:c r="H210" s="22" t="str">
        <x:v>AP | CX/50 | UN</x:v>
      </x:c>
      <x:c r="I210" s="22" t="str">
        <x:v>UNIDADE</x:v>
      </x:c>
      <x:c r="J210" s="22" t="str">
        <x:v>HYPOFARMA</x:v>
      </x:c>
      <x:c r="K210" s="28" t="str"/>
      <x:c r="L210" s="28" t="str">
        <x:f>"30043290"</x:f>
        <x:v>30043290</x:v>
      </x:c>
      <x:c r="M210" s="22" t="str">
        <x:v>UN</x:v>
      </x:c>
      <x:c r="N210" s="22" t="str">
        <x:v>UN</x:v>
      </x:c>
      <x:c r="O210" s="22" t="n">
        <x:v>1</x:v>
      </x:c>
      <x:c r="P210" s="28" t="str">
        <x:f>"383"</x:f>
        <x:v>383</x:v>
      </x:c>
      <x:c r="Q210" s="28" t="str">
        <x:f>"D(D0002"</x:f>
        <x:v>D(D0002</x:v>
      </x:c>
    </x:row>
    <x:row r="211">
      <x:c r="A211" s="22" t="n">
        <x:v>207</x:v>
      </x:c>
      <x:c r="B211" s="28" t="str">
        <x:f>"P2B0006"</x:f>
        <x:v>P2B0006</x:v>
      </x:c>
      <x:c r="C211" s="22" t="str">
        <x:v>DIAZEPAM 10MG/2ML - CX/100 - SANTISA</x:v>
      </x:c>
      <x:c r="D211" s="22" t="str">
        <x:v>DIAZEPAM</x:v>
      </x:c>
      <x:c r="E211" s="22" t="str">
        <x:v>DIAZEPAM</x:v>
      </x:c>
      <x:c r="F211" s="22" t="str">
        <x:v>10MG/2ML | 10MG | 2ML</x:v>
      </x:c>
      <x:c r="G211" s="22" t="str"/>
      <x:c r="H211" s="22" t="str">
        <x:v>CX/100 | CX | CONTEUDO100 | FATOR100</x:v>
      </x:c>
      <x:c r="I211" s="22" t="str">
        <x:v>CAIXA</x:v>
      </x:c>
      <x:c r="J211" s="22" t="str">
        <x:v>SANTISA</x:v>
      </x:c>
      <x:c r="K211" s="28" t="str">
        <x:f>"GTIN: 7898404220673"</x:f>
        <x:v>GTIN: 7898404220673</x:v>
      </x:c>
      <x:c r="L211" s="28" t="str">
        <x:f>"30039095"</x:f>
        <x:v>30039095</x:v>
      </x:c>
      <x:c r="M211" s="22" t="str">
        <x:v>UN</x:v>
      </x:c>
      <x:c r="N211" s="22" t="str">
        <x:v>CX</x:v>
      </x:c>
      <x:c r="O211" s="22" t="n">
        <x:v>100</x:v>
      </x:c>
      <x:c r="P211" s="28" t="str">
        <x:f>"384"</x:f>
        <x:v>384</x:v>
      </x:c>
      <x:c r="Q211" s="28" t="str">
        <x:f>"P2B0006"</x:f>
        <x:v>P2B0006</x:v>
      </x:c>
    </x:row>
    <x:row r="212">
      <x:c r="A212" s="22" t="n">
        <x:v>208</x:v>
      </x:c>
      <x:c r="B212" s="28" t="str">
        <x:f>"DS50004"</x:f>
        <x:v>DS50004</x:v>
      </x:c>
      <x:c r="C212" s="22" t="str">
        <x:v>DIPIRONA MONOIDRATADA 500MG CP CX/ 200 - PRATI</x:v>
      </x:c>
      <x:c r="D212" s="22" t="str">
        <x:v>DIPIRONA MONOIDRATADA CP</x:v>
      </x:c>
      <x:c r="E212" s="22" t="str">
        <x:v>DIPIRONA MONOIDRATADA CP</x:v>
      </x:c>
      <x:c r="F212" s="22" t="str">
        <x:v>500MG</x:v>
      </x:c>
      <x:c r="G212" s="22" t="str"/>
      <x:c r="H212" s="22" t="str">
        <x:v>CX/200 | CX | CONTEUDO200 | FATOR200</x:v>
      </x:c>
      <x:c r="I212" s="22" t="str">
        <x:v>CAIXA</x:v>
      </x:c>
      <x:c r="J212" s="22" t="str">
        <x:v>PRATI</x:v>
      </x:c>
      <x:c r="K212" s="28" t="str">
        <x:f>"GTIN: 7898700412390"</x:f>
        <x:v>GTIN: 7898700412390</x:v>
      </x:c>
      <x:c r="L212" s="28" t="str">
        <x:f>"30049069"</x:f>
        <x:v>30049069</x:v>
      </x:c>
      <x:c r="M212" s="22" t="str">
        <x:v>UN</x:v>
      </x:c>
      <x:c r="N212" s="22" t="str">
        <x:v>CX</x:v>
      </x:c>
      <x:c r="O212" s="22" t="n">
        <x:v>200</x:v>
      </x:c>
      <x:c r="P212" s="28" t="str">
        <x:f>"385"</x:f>
        <x:v>385</x:v>
      </x:c>
      <x:c r="Q212" s="28" t="str">
        <x:f>"DS50004"</x:f>
        <x:v>DS50004</x:v>
      </x:c>
    </x:row>
    <x:row r="213">
      <x:c r="A213" s="22" t="n">
        <x:v>209</x:v>
      </x:c>
      <x:c r="B213" s="28" t="str">
        <x:f>"DS50002"</x:f>
        <x:v>DS50002</x:v>
      </x:c>
      <x:c r="C213" s="22" t="str">
        <x:v>DIPIRONA SÓDICA 1G/ML 2ML AP CX/100 - SANTISA</x:v>
      </x:c>
      <x:c r="D213" s="22" t="str">
        <x:v>DIPIRONA SODICA ML</x:v>
      </x:c>
      <x:c r="E213" s="22" t="str">
        <x:v>DIPIRONA SODICA ML</x:v>
      </x:c>
      <x:c r="F213" s="22" t="str">
        <x:v>1G | 2ML</x:v>
      </x:c>
      <x:c r="G213" s="22" t="str">
        <x:v>1G</x:v>
      </x:c>
      <x:c r="H213" s="22" t="str">
        <x:v>AP | CX/100 | UN</x:v>
      </x:c>
      <x:c r="I213" s="22" t="str">
        <x:v>UNIDADE</x:v>
      </x:c>
      <x:c r="J213" s="22" t="str">
        <x:v>SANTISA</x:v>
      </x:c>
      <x:c r="K213" s="28" t="str"/>
      <x:c r="L213" s="28" t="str">
        <x:f>"30049099"</x:f>
        <x:v>30049099</x:v>
      </x:c>
      <x:c r="M213" s="22" t="str">
        <x:v>UN</x:v>
      </x:c>
      <x:c r="N213" s="22" t="str">
        <x:v>UN</x:v>
      </x:c>
      <x:c r="O213" s="22" t="n">
        <x:v>1</x:v>
      </x:c>
      <x:c r="P213" s="28" t="str">
        <x:f>"386"</x:f>
        <x:v>386</x:v>
      </x:c>
      <x:c r="Q213" s="28" t="str">
        <x:f>"DS50002"</x:f>
        <x:v>DS50002</x:v>
      </x:c>
    </x:row>
    <x:row r="214">
      <x:c r="A214" s="22" t="n">
        <x:v>210</x:v>
      </x:c>
      <x:c r="B214" s="28" t="str">
        <x:f>"DS50003"</x:f>
        <x:v>DS50003</x:v>
      </x:c>
      <x:c r="C214" s="22" t="str">
        <x:v>DIPIRONA SÓDICA 500MG/ML 2ML AP CX/100 - FARMACE</x:v>
      </x:c>
      <x:c r="D214" s="22" t="str">
        <x:v>DIPIRONA SODICA</x:v>
      </x:c>
      <x:c r="E214" s="22" t="str">
        <x:v>DIPIRONA SODICA</x:v>
      </x:c>
      <x:c r="F214" s="22" t="str">
        <x:v>500MG/ML | 500MG | 2ML</x:v>
      </x:c>
      <x:c r="G214" s="22" t="str"/>
      <x:c r="H214" s="22" t="str">
        <x:v>AP | CX/100 | UN</x:v>
      </x:c>
      <x:c r="I214" s="22" t="str">
        <x:v>UNIDADE</x:v>
      </x:c>
      <x:c r="J214" s="22" t="str">
        <x:v>FARMACE</x:v>
      </x:c>
      <x:c r="K214" s="28" t="str">
        <x:f>"GTIN: 7898470683808"</x:f>
        <x:v>GTIN: 7898470683808</x:v>
      </x:c>
      <x:c r="L214" s="28" t="str">
        <x:f>"30049099"</x:f>
        <x:v>30049099</x:v>
      </x:c>
      <x:c r="M214" s="22" t="str">
        <x:v>UN</x:v>
      </x:c>
      <x:c r="N214" s="22" t="str">
        <x:v>UN</x:v>
      </x:c>
      <x:c r="O214" s="22" t="n">
        <x:v>1</x:v>
      </x:c>
      <x:c r="P214" s="28" t="str">
        <x:f>"387 | 388 | 389 | 390"</x:f>
        <x:v>387 | 388 | 389 | 390</x:v>
      </x:c>
      <x:c r="Q214" s="28" t="str">
        <x:f>"DS50003 | DS50005 | DS50006 | DS50007"</x:f>
        <x:v>DS50003 | DS50005 | DS50006 | DS50007</x:v>
      </x:c>
    </x:row>
    <x:row r="215">
      <x:c r="A215" s="22" t="n">
        <x:v>211</x:v>
      </x:c>
      <x:c r="B215" s="28" t="str">
        <x:f>"DS10001"</x:f>
        <x:v>DS10001</x:v>
      </x:c>
      <x:c r="C215" s="22" t="str">
        <x:v>DIPIRONA SÓDICA 500MG/ML 2ML AP CX/100 - SANTISA</x:v>
      </x:c>
      <x:c r="D215" s="22" t="str">
        <x:v>DIPIRONA SODICA</x:v>
      </x:c>
      <x:c r="E215" s="22" t="str">
        <x:v>DIPIRONA SODICA</x:v>
      </x:c>
      <x:c r="F215" s="22" t="str">
        <x:v>500MG/ML | 500MG | 2ML</x:v>
      </x:c>
      <x:c r="G215" s="22" t="str"/>
      <x:c r="H215" s="22" t="str">
        <x:v>AP | CX/100 | UN</x:v>
      </x:c>
      <x:c r="I215" s="22" t="str">
        <x:v>UNIDADE</x:v>
      </x:c>
      <x:c r="J215" s="22" t="str">
        <x:v>SANTISA</x:v>
      </x:c>
      <x:c r="K215" s="28" t="str">
        <x:f>"GTIN: 7898470683808"</x:f>
        <x:v>GTIN: 7898470683808</x:v>
      </x:c>
      <x:c r="L215" s="28" t="str">
        <x:f>"30049099"</x:f>
        <x:v>30049099</x:v>
      </x:c>
      <x:c r="M215" s="22" t="str">
        <x:v>UN</x:v>
      </x:c>
      <x:c r="N215" s="22" t="str">
        <x:v>UN</x:v>
      </x:c>
      <x:c r="O215" s="22" t="n">
        <x:v>1</x:v>
      </x:c>
      <x:c r="P215" s="28" t="str">
        <x:f>"391 | 392"</x:f>
        <x:v>391 | 392</x:v>
      </x:c>
      <x:c r="Q215" s="28" t="str">
        <x:f>"DS10001 | DS50001"</x:f>
        <x:v>DS10001 | DS50001</x:v>
      </x:c>
    </x:row>
    <x:row r="216">
      <x:c r="A216" s="22" t="n">
        <x:v>212</x:v>
      </x:c>
      <x:c r="B216" s="28" t="str">
        <x:f>"DPR0001"</x:f>
        <x:v>DPR0001</x:v>
      </x:c>
      <x:c r="C216" s="22" t="str">
        <x:v>DISPENSER PAPEL ROLAO 300/500 ASC BR - NOBRE</x:v>
      </x:c>
      <x:c r="D216" s="22" t="str">
        <x:v>DISPENSER PAPEL ROLAO ASC BR</x:v>
      </x:c>
      <x:c r="E216" s="22" t="str">
        <x:v>DISPENSER PAPEL ROLAO</x:v>
      </x:c>
      <x:c r="F216" s="22" t="str"/>
      <x:c r="G216" s="22" t="str"/>
      <x:c r="H216" s="22" t="str">
        <x:v>UN</x:v>
      </x:c>
      <x:c r="I216" s="22" t="str">
        <x:v>UNIDADE</x:v>
      </x:c>
      <x:c r="J216" s="22" t="str">
        <x:v>NOBRE</x:v>
      </x:c>
      <x:c r="K216" s="28" t="str"/>
      <x:c r="L216" s="28" t="str">
        <x:f>"39229000"</x:f>
        <x:v>39229000</x:v>
      </x:c>
      <x:c r="M216" s="22" t="str">
        <x:v>UN</x:v>
      </x:c>
      <x:c r="N216" s="22" t="str">
        <x:v>UN</x:v>
      </x:c>
      <x:c r="O216" s="22" t="n">
        <x:v>1</x:v>
      </x:c>
      <x:c r="P216" s="28" t="str">
        <x:f>"393"</x:f>
        <x:v>393</x:v>
      </x:c>
      <x:c r="Q216" s="28" t="str">
        <x:f>"DPR0001"</x:f>
        <x:v>DPR0001</x:v>
      </x:c>
    </x:row>
    <x:row r="217">
      <x:c r="A217" s="22" t="n">
        <x:v>213</x:v>
      </x:c>
      <x:c r="B217" s="28" t="str">
        <x:f>"DS40001"</x:f>
        <x:v>DS40001</x:v>
      </x:c>
      <x:c r="C217" s="22" t="str">
        <x:v>DRENO DE SUCCAO 4.8MM (3/16) 500ML SEROVAC - CX/20 SEROPLAST</x:v>
      </x:c>
      <x:c r="D217" s="22" t="str">
        <x:v>DRENO SUCCAO SEROVAC</x:v>
      </x:c>
      <x:c r="E217" s="22" t="str">
        <x:v>DRENO SUCCAO SEROVAC</x:v>
      </x:c>
      <x:c r="F217" s="22" t="str">
        <x:v>500ML</x:v>
      </x:c>
      <x:c r="G217" s="22" t="str"/>
      <x:c r="H217" s="22" t="str">
        <x:v>CX/20 | UN</x:v>
      </x:c>
      <x:c r="I217" s="22" t="str">
        <x:v>UNIDADE</x:v>
      </x:c>
      <x:c r="J217" s="22" t="str">
        <x:v>SEROPLAST</x:v>
      </x:c>
      <x:c r="K217" s="28" t="str">
        <x:f>"GTIN: 7899780142733"</x:f>
        <x:v>GTIN: 7899780142733</x:v>
      </x:c>
      <x:c r="L217" s="28" t="str">
        <x:f>"90183929"</x:f>
        <x:v>90183929</x:v>
      </x:c>
      <x:c r="M217" s="22" t="str">
        <x:v>UN</x:v>
      </x:c>
      <x:c r="N217" s="22" t="str">
        <x:v>UN</x:v>
      </x:c>
      <x:c r="O217" s="22" t="n">
        <x:v>1</x:v>
      </x:c>
      <x:c r="P217" s="28" t="str">
        <x:f>"394"</x:f>
        <x:v>394</x:v>
      </x:c>
      <x:c r="Q217" s="28" t="str">
        <x:f>"DS40001"</x:f>
        <x:v>DS40001</x:v>
      </x:c>
    </x:row>
    <x:row r="218">
      <x:c r="A218" s="22" t="n">
        <x:v>214</x:v>
      </x:c>
      <x:c r="B218" s="28" t="str">
        <x:f>"DPS0001"</x:f>
        <x:v>DPS0001</x:v>
      </x:c>
      <x:c r="C218" s="22" t="str">
        <x:v>DRENO P/ SUCÇÃO 14FRX54CM HAIBREATH - SHAOXING HAITECH</x:v>
      </x:c>
      <x:c r="D218" s="22" t="str">
        <x:v>DRENO SUCCAO 14FRX54CM HAIBREATH</x:v>
      </x:c>
      <x:c r="E218" s="22" t="str">
        <x:v>DRENO SUCCAO 14FRX54CM</x:v>
      </x:c>
      <x:c r="F218" s="22" t="str"/>
      <x:c r="G218" s="22" t="str"/>
      <x:c r="H218" s="22" t="str">
        <x:v>UN</x:v>
      </x:c>
      <x:c r="I218" s="22" t="str">
        <x:v>UNIDADE</x:v>
      </x:c>
      <x:c r="J218" s="22" t="str">
        <x:v>SHAOXING HAITECH</x:v>
      </x:c>
      <x:c r="K218" s="28" t="str">
        <x:f>"GTIN: 31690997"</x:f>
        <x:v>GTIN: 31690997</x:v>
      </x:c>
      <x:c r="L218" s="28" t="str">
        <x:f>"90183929"</x:f>
        <x:v>90183929</x:v>
      </x:c>
      <x:c r="M218" s="22" t="str">
        <x:v>UN</x:v>
      </x:c>
      <x:c r="N218" s="22" t="str">
        <x:v>UN</x:v>
      </x:c>
      <x:c r="O218" s="22" t="n">
        <x:v>1</x:v>
      </x:c>
      <x:c r="P218" s="28" t="str">
        <x:f>"395"</x:f>
        <x:v>395</x:v>
      </x:c>
      <x:c r="Q218" s="28" t="str">
        <x:f>"DPS0001"</x:f>
        <x:v>DPS0001</x:v>
      </x:c>
    </x:row>
    <x:row r="219">
      <x:c r="A219" s="22" t="n">
        <x:v>215</x:v>
      </x:c>
      <x:c r="B219" s="28" t="str">
        <x:f>"E2-0002"</x:f>
        <x:v>E2-0002</x:v>
      </x:c>
      <x:c r="C219" s="22" t="str">
        <x:v>ENOXAPARINA 20MG - CX/10 - VIATRIS</x:v>
      </x:c>
      <x:c r="D219" s="22" t="str">
        <x:v>ENOXAPARINA</x:v>
      </x:c>
      <x:c r="E219" s="22" t="str">
        <x:v>ENOXAPARINA</x:v>
      </x:c>
      <x:c r="F219" s="22" t="str">
        <x:v>20MG</x:v>
      </x:c>
      <x:c r="G219" s="22" t="str"/>
      <x:c r="H219" s="22" t="str">
        <x:v>CX/10 | CX | CONTEUDO10 | FATOR10</x:v>
      </x:c>
      <x:c r="I219" s="22" t="str">
        <x:v>CAIXA</x:v>
      </x:c>
      <x:c r="J219" s="22" t="str">
        <x:v>VIATRIS</x:v>
      </x:c>
      <x:c r="K219" s="28" t="str"/>
      <x:c r="L219" s="28" t="str">
        <x:f>"30049099"</x:f>
        <x:v>30049099</x:v>
      </x:c>
      <x:c r="M219" s="22" t="str">
        <x:v>UN</x:v>
      </x:c>
      <x:c r="N219" s="22" t="str">
        <x:v>CX</x:v>
      </x:c>
      <x:c r="O219" s="22" t="n">
        <x:v>10</x:v>
      </x:c>
      <x:c r="P219" s="28" t="str">
        <x:f>"396 | 397 | 398 | 399"</x:f>
        <x:v>396 | 397 | 398 | 399</x:v>
      </x:c>
      <x:c r="Q219" s="28" t="str">
        <x:f>"E2-0011 | E2-0014 | E2-0002 | E6-0001"</x:f>
        <x:v>E2-0011 | E2-0014 | E2-0002 | E6-0001</x:v>
      </x:c>
    </x:row>
    <x:row r="220">
      <x:c r="A220" s="22" t="n">
        <x:v>216</x:v>
      </x:c>
      <x:c r="B220" s="28" t="str">
        <x:f>"E4-0008"</x:f>
        <x:v>E4-0008</x:v>
      </x:c>
      <x:c r="C220" s="22" t="str">
        <x:v>ENOXAPARINA 40MG - CX/10 - CRISTÁLIA</x:v>
      </x:c>
      <x:c r="D220" s="22" t="str">
        <x:v>ENOXAPARINA</x:v>
      </x:c>
      <x:c r="E220" s="22" t="str">
        <x:v>ENOXAPARINA</x:v>
      </x:c>
      <x:c r="F220" s="22" t="str">
        <x:v>40MG</x:v>
      </x:c>
      <x:c r="G220" s="22" t="str"/>
      <x:c r="H220" s="22" t="str">
        <x:v>CX/10 | CX | CONTEUDO10 | FATOR10</x:v>
      </x:c>
      <x:c r="I220" s="22" t="str">
        <x:v>CAIXA</x:v>
      </x:c>
      <x:c r="J220" s="22" t="str">
        <x:v>CRISTÁLIA</x:v>
      </x:c>
      <x:c r="K220" s="28" t="str">
        <x:f>"GTIN: 7898560664939"</x:f>
        <x:v>GTIN: 7898560664939</x:v>
      </x:c>
      <x:c r="L220" s="28" t="str">
        <x:f>"30049099"</x:f>
        <x:v>30049099</x:v>
      </x:c>
      <x:c r="M220" s="22" t="str">
        <x:v>UN</x:v>
      </x:c>
      <x:c r="N220" s="22" t="str">
        <x:v>CX</x:v>
      </x:c>
      <x:c r="O220" s="22" t="n">
        <x:v>10</x:v>
      </x:c>
      <x:c r="P220" s="28" t="str">
        <x:f>"400 | 401"</x:f>
        <x:v>400 | 401</x:v>
      </x:c>
      <x:c r="Q220" s="28" t="str">
        <x:f>"E4-0008 | E4-0006"</x:f>
        <x:v>E4-0008 | E4-0006</x:v>
      </x:c>
    </x:row>
    <x:row r="221">
      <x:c r="A221" s="22" t="n">
        <x:v>217</x:v>
      </x:c>
      <x:c r="B221" s="28" t="str">
        <x:f>"E4-0009"</x:f>
        <x:v>E4-0009</x:v>
      </x:c>
      <x:c r="C221" s="22" t="str">
        <x:v>ENOXAPARINA 40MG - CX/10 - VIATRIS</x:v>
      </x:c>
      <x:c r="D221" s="22" t="str">
        <x:v>ENOXAPARINA</x:v>
      </x:c>
      <x:c r="E221" s="22" t="str">
        <x:v>ENOXAPARINA</x:v>
      </x:c>
      <x:c r="F221" s="22" t="str">
        <x:v>40MG</x:v>
      </x:c>
      <x:c r="G221" s="22" t="str"/>
      <x:c r="H221" s="22" t="str">
        <x:v>CX/10 | CX | CONTEUDO10 | FATOR10</x:v>
      </x:c>
      <x:c r="I221" s="22" t="str">
        <x:v>CAIXA</x:v>
      </x:c>
      <x:c r="J221" s="22" t="str">
        <x:v>VIATRIS</x:v>
      </x:c>
      <x:c r="K221" s="28" t="str">
        <x:f>"GTIN: 7898560664939"</x:f>
        <x:v>GTIN: 7898560664939</x:v>
      </x:c>
      <x:c r="L221" s="28" t="str">
        <x:f>"30049099"</x:f>
        <x:v>30049099</x:v>
      </x:c>
      <x:c r="M221" s="22" t="str">
        <x:v>UN</x:v>
      </x:c>
      <x:c r="N221" s="22" t="str">
        <x:v>CX</x:v>
      </x:c>
      <x:c r="O221" s="22" t="n">
        <x:v>10</x:v>
      </x:c>
      <x:c r="P221" s="28" t="str">
        <x:f>"402 | 403 | 404 | 405 | 406 | 407 | 408"</x:f>
        <x:v>402 | 403 | 404 | 405 | 406 | 407 | 408</x:v>
      </x:c>
      <x:c r="Q221" s="28" t="str">
        <x:f>"E4-0005 | E4-0009 | E4-0001 | E4-0002 | E4-0003 | E4-0004 | E4-0010"</x:f>
        <x:v>E4-0005 | E4-0009 | E4-0001 | E4-0002 | E4-0003 | E4-0004 | E4-0010</x:v>
      </x:c>
    </x:row>
    <x:row r="222">
      <x:c r="A222" s="22" t="n">
        <x:v>218</x:v>
      </x:c>
      <x:c r="B222" s="28" t="str">
        <x:f>"E6-0010"</x:f>
        <x:v>E6-0010</x:v>
      </x:c>
      <x:c r="C222" s="22" t="str">
        <x:v>ENOXAPARINA 60MG - CX/02 - BLAU</x:v>
      </x:c>
      <x:c r="D222" s="22" t="str">
        <x:v>ENOXAPARINA</x:v>
      </x:c>
      <x:c r="E222" s="22" t="str">
        <x:v>ENOXAPARINA</x:v>
      </x:c>
      <x:c r="F222" s="22" t="str">
        <x:v>60MG</x:v>
      </x:c>
      <x:c r="G222" s="22" t="str"/>
      <x:c r="H222" s="22" t="str">
        <x:v>CX/02 | CX | CONTEUDO2 | FATOR2</x:v>
      </x:c>
      <x:c r="I222" s="22" t="str">
        <x:v>CAIXA</x:v>
      </x:c>
      <x:c r="J222" s="22" t="str">
        <x:v>BLAU</x:v>
      </x:c>
      <x:c r="K222" s="28" t="str">
        <x:f>"GTIN: 7896014671632"</x:f>
        <x:v>GTIN: 7896014671632</x:v>
      </x:c>
      <x:c r="L222" s="28" t="str">
        <x:f>"30049099"</x:f>
        <x:v>30049099</x:v>
      </x:c>
      <x:c r="M222" s="22" t="str">
        <x:v>UN</x:v>
      </x:c>
      <x:c r="N222" s="22" t="str">
        <x:v>CX</x:v>
      </x:c>
      <x:c r="O222" s="22" t="n">
        <x:v>2</x:v>
      </x:c>
      <x:c r="P222" s="28" t="str">
        <x:f>"409"</x:f>
        <x:v>409</x:v>
      </x:c>
      <x:c r="Q222" s="28" t="str">
        <x:f>"E6-0010"</x:f>
        <x:v>E6-0010</x:v>
      </x:c>
    </x:row>
    <x:row r="223">
      <x:c r="A223" s="22" t="n">
        <x:v>219</x:v>
      </x:c>
      <x:c r="B223" s="28" t="str">
        <x:f>"E4-0007"</x:f>
        <x:v>E4-0007</x:v>
      </x:c>
      <x:c r="C223" s="22" t="str">
        <x:v>ENOXAPARINA 60MG - CX/10 - VIATRIS</x:v>
      </x:c>
      <x:c r="D223" s="22" t="str">
        <x:v>ENOXAPARINA</x:v>
      </x:c>
      <x:c r="E223" s="22" t="str">
        <x:v>ENOXAPARINA</x:v>
      </x:c>
      <x:c r="F223" s="22" t="str">
        <x:v>60MG</x:v>
      </x:c>
      <x:c r="G223" s="22" t="str"/>
      <x:c r="H223" s="22" t="str">
        <x:v>CX/10 | CX | CONTEUDO10 | FATOR10</x:v>
      </x:c>
      <x:c r="I223" s="22" t="str">
        <x:v>CAIXA</x:v>
      </x:c>
      <x:c r="J223" s="22" t="str">
        <x:v>VIATRIS</x:v>
      </x:c>
      <x:c r="K223" s="28" t="str">
        <x:f>"GTIN: 7898560664939"</x:f>
        <x:v>GTIN: 7898560664939</x:v>
      </x:c>
      <x:c r="L223" s="28" t="str">
        <x:f>"30049099"</x:f>
        <x:v>30049099</x:v>
      </x:c>
      <x:c r="M223" s="22" t="str">
        <x:v>UN</x:v>
      </x:c>
      <x:c r="N223" s="22" t="str">
        <x:v>CX</x:v>
      </x:c>
      <x:c r="O223" s="22" t="n">
        <x:v>10</x:v>
      </x:c>
      <x:c r="P223" s="28" t="str">
        <x:f>"410"</x:f>
        <x:v>410</x:v>
      </x:c>
      <x:c r="Q223" s="28" t="str">
        <x:f>"E4-0007"</x:f>
        <x:v>E4-0007</x:v>
      </x:c>
    </x:row>
    <x:row r="224">
      <x:c r="A224" s="22" t="n">
        <x:v>220</x:v>
      </x:c>
      <x:c r="B224" s="28" t="str">
        <x:f>"E2-0001"</x:f>
        <x:v>E2-0001</x:v>
      </x:c>
      <x:c r="C224" s="22" t="str">
        <x:v>ENOXAPARINA 80MG - CX/02 - VIATRIS</x:v>
      </x:c>
      <x:c r="D224" s="22" t="str">
        <x:v>ENOXAPARINA</x:v>
      </x:c>
      <x:c r="E224" s="22" t="str">
        <x:v>ENOXAPARINA</x:v>
      </x:c>
      <x:c r="F224" s="22" t="str">
        <x:v>80MG</x:v>
      </x:c>
      <x:c r="G224" s="22" t="str"/>
      <x:c r="H224" s="22" t="str">
        <x:v>CX/02 | CX | CONTEUDO2 | FATOR2</x:v>
      </x:c>
      <x:c r="I224" s="22" t="str">
        <x:v>CAIXA</x:v>
      </x:c>
      <x:c r="J224" s="22" t="str">
        <x:v>VIATRIS</x:v>
      </x:c>
      <x:c r="K224" s="28" t="str">
        <x:f>"GTIN: 7898560664878"</x:f>
        <x:v>GTIN: 7898560664878</x:v>
      </x:c>
      <x:c r="L224" s="28" t="str">
        <x:f>"30049099"</x:f>
        <x:v>30049099</x:v>
      </x:c>
      <x:c r="M224" s="22" t="str">
        <x:v>UN</x:v>
      </x:c>
      <x:c r="N224" s="22" t="str">
        <x:v>CX</x:v>
      </x:c>
      <x:c r="O224" s="22" t="n">
        <x:v>2</x:v>
      </x:c>
      <x:c r="P224" s="28" t="str">
        <x:f>"411"</x:f>
        <x:v>411</x:v>
      </x:c>
      <x:c r="Q224" s="28" t="str">
        <x:f>"E2-0001"</x:f>
        <x:v>E2-0001</x:v>
      </x:c>
    </x:row>
    <x:row r="225">
      <x:c r="A225" s="22" t="n">
        <x:v>221</x:v>
      </x:c>
      <x:c r="B225" s="28" t="str">
        <x:f>"E1C0001"</x:f>
        <x:v>E1C0001</x:v>
      </x:c>
      <x:c r="C225" s="22" t="str">
        <x:v>EPINEFRINA 1MG/1ML CX/100 HYPOFARMA</x:v>
      </x:c>
      <x:c r="D225" s="22" t="str">
        <x:v>EPINEFRINA HYPOFARMA</x:v>
      </x:c>
      <x:c r="E225" s="22" t="str">
        <x:v>EPINEFRINA HYPOFARMA</x:v>
      </x:c>
      <x:c r="F225" s="22" t="str">
        <x:v>1MG/1ML | 1MG | 1ML</x:v>
      </x:c>
      <x:c r="G225" s="22" t="str"/>
      <x:c r="H225" s="22" t="str">
        <x:v>CX/100 | CX | CONTEUDO100 | FATOR100</x:v>
      </x:c>
      <x:c r="I225" s="22" t="str">
        <x:v>CAIXA</x:v>
      </x:c>
      <x:c r="J225" s="22" t="str">
        <x:v>HIPOFARMA</x:v>
      </x:c>
      <x:c r="K225" s="28" t="str"/>
      <x:c r="L225" s="28" t="str">
        <x:f>"30043999"</x:f>
        <x:v>30043999</x:v>
      </x:c>
      <x:c r="M225" s="22" t="str">
        <x:v>UN</x:v>
      </x:c>
      <x:c r="N225" s="22" t="str">
        <x:v>CX</x:v>
      </x:c>
      <x:c r="O225" s="22" t="n">
        <x:v>100</x:v>
      </x:c>
      <x:c r="P225" s="28" t="str">
        <x:f>"412 | 413"</x:f>
        <x:v>412 | 413</x:v>
      </x:c>
      <x:c r="Q225" s="28" t="str">
        <x:f>"E1C0001 | E1C0007"</x:f>
        <x:v>E1C0001 | E1C0007</x:v>
      </x:c>
    </x:row>
    <x:row r="226">
      <x:c r="A226" s="22" t="n">
        <x:v>222</x:v>
      </x:c>
      <x:c r="B226" s="28" t="str">
        <x:f>"ENP0002"</x:f>
        <x:v>ENP0002</x:v>
      </x:c>
      <x:c r="C226" s="22" t="str">
        <x:v>EQUIPO DE NUTRIÇÃO P/ BOMBA DE INFUSUSORA (NUTRI-HART PLUS 2 VIAS) - CX/50 - HARTMANN CÓD.150.138</x:v>
      </x:c>
      <x:c r="D226" s="22" t="str">
        <x:v>EQUIPO NUTRICAO BOMBA INFUSUSORA COD</x:v>
      </x:c>
      <x:c r="E226" s="22" t="str">
        <x:v>EQUIPO NUTRICAO BOMBA</x:v>
      </x:c>
      <x:c r="F226" s="22" t="str"/>
      <x:c r="G226" s="22" t="str"/>
      <x:c r="H226" s="22" t="str">
        <x:v>CX/50 | CX | CONTEUDO50 | FATOR50</x:v>
      </x:c>
      <x:c r="I226" s="22" t="str">
        <x:v>CAIXA</x:v>
      </x:c>
      <x:c r="J226" s="22" t="str">
        <x:v>HARTMANN</x:v>
      </x:c>
      <x:c r="K226" s="28" t="str">
        <x:f>"GTIN: 7898468471264"</x:f>
        <x:v>GTIN: 7898468471264</x:v>
      </x:c>
      <x:c r="L226" s="28" t="str">
        <x:f>"90189010"</x:f>
        <x:v>90189010</x:v>
      </x:c>
      <x:c r="M226" s="22" t="str">
        <x:v>UN</x:v>
      </x:c>
      <x:c r="N226" s="22" t="str">
        <x:v>CX</x:v>
      </x:c>
      <x:c r="O226" s="22" t="n">
        <x:v>50</x:v>
      </x:c>
      <x:c r="P226" s="28" t="str">
        <x:f>"414"</x:f>
        <x:v>414</x:v>
      </x:c>
      <x:c r="Q226" s="28" t="str">
        <x:f>"ENP0002"</x:f>
        <x:v>ENP0002</x:v>
      </x:c>
    </x:row>
    <x:row r="227">
      <x:c r="A227" s="22" t="n">
        <x:v>223</x:v>
      </x:c>
      <x:c r="B227" s="28" t="str">
        <x:f>"ENP0001"</x:f>
        <x:v>ENP0001</x:v>
      </x:c>
      <x:c r="C227" s="22" t="str">
        <x:v>EQUIPO DE NUTRIÇÃO P/ BOMBA DE INFUSUSORA (NUTRI-HART PLUS 2 VIAS) - CX/50 - HARTMANN CÓD.171.110</x:v>
      </x:c>
      <x:c r="D227" s="22" t="str">
        <x:v>EQUIPO NUTRICAO BOMBA INFUSUSORA COD</x:v>
      </x:c>
      <x:c r="E227" s="22" t="str">
        <x:v>EQUIPO NUTRICAO BOMBA</x:v>
      </x:c>
      <x:c r="F227" s="22" t="str"/>
      <x:c r="G227" s="22" t="str"/>
      <x:c r="H227" s="22" t="str">
        <x:v>CX/50 | CX | CONTEUDO50 | FATOR50</x:v>
      </x:c>
      <x:c r="I227" s="22" t="str">
        <x:v>CAIXA</x:v>
      </x:c>
      <x:c r="J227" s="22" t="str">
        <x:v>HARTMANN</x:v>
      </x:c>
      <x:c r="K227" s="28" t="str">
        <x:f>"GTIN: 7892905914703"</x:f>
        <x:v>GTIN: 7892905914703</x:v>
      </x:c>
      <x:c r="L227" s="28" t="str">
        <x:f>"84439931"</x:f>
        <x:v>84439931</x:v>
      </x:c>
      <x:c r="M227" s="22" t="str">
        <x:v>UN</x:v>
      </x:c>
      <x:c r="N227" s="22" t="str">
        <x:v>CX</x:v>
      </x:c>
      <x:c r="O227" s="22" t="n">
        <x:v>50</x:v>
      </x:c>
      <x:c r="P227" s="28" t="str">
        <x:f>"415"</x:f>
        <x:v>415</x:v>
      </x:c>
      <x:c r="Q227" s="28" t="str">
        <x:f>"ENP0001"</x:f>
        <x:v>ENP0001</x:v>
      </x:c>
    </x:row>
    <x:row r="228">
      <x:c r="A228" s="22" t="n">
        <x:v>224</x:v>
      </x:c>
      <x:c r="B228" s="28" t="str">
        <x:f>"EMC0005"</x:f>
        <x:v>EMC0005</x:v>
      </x:c>
      <x:c r="C228" s="22" t="str">
        <x:v>EQUIPO INFUSÃO 2 VIAS C/ CLAMP LS PCT/25 - DESCARPACK</x:v>
      </x:c>
      <x:c r="D228" s="22" t="str">
        <x:v>EQUIPO INFUSAO VIAS CLAMP LS</x:v>
      </x:c>
      <x:c r="E228" s="22" t="str">
        <x:v>EQUIPO INFUSAO VIAS</x:v>
      </x:c>
      <x:c r="F228" s="22" t="str"/>
      <x:c r="G228" s="22" t="str"/>
      <x:c r="H228" s="22" t="str">
        <x:v>PCT/25 | PCT | CONTEUDO25 | FATOR25</x:v>
      </x:c>
      <x:c r="I228" s="22" t="str">
        <x:v>OUTRA</x:v>
      </x:c>
      <x:c r="J228" s="22" t="str">
        <x:v>DESCARPACK</x:v>
      </x:c>
      <x:c r="K228" s="28" t="str">
        <x:f>"GTIN: 7898283818633"</x:f>
        <x:v>GTIN: 7898283818633</x:v>
      </x:c>
      <x:c r="L228" s="28" t="str">
        <x:f>"90189010"</x:f>
        <x:v>90189010</x:v>
      </x:c>
      <x:c r="M228" s="22" t="str">
        <x:v>UN</x:v>
      </x:c>
      <x:c r="N228" s="22" t="str">
        <x:v>PCT</x:v>
      </x:c>
      <x:c r="O228" s="22" t="n">
        <x:v>25</x:v>
      </x:c>
      <x:c r="P228" s="28" t="str">
        <x:f>"416"</x:f>
        <x:v>416</x:v>
      </x:c>
      <x:c r="Q228" s="28" t="str">
        <x:f>"EMC0005"</x:f>
        <x:v>EMC0005</x:v>
      </x:c>
    </x:row>
    <x:row r="229">
      <x:c r="A229" s="22" t="n">
        <x:v>225</x:v>
      </x:c>
      <x:c r="B229" s="28" t="str">
        <x:f>"EIM0001"</x:f>
        <x:v>EIM0001</x:v>
      </x:c>
      <x:c r="C229" s="22" t="str">
        <x:v>EQUIPO INFUSOR MULTIPLO 2 VIAS C/ CLAMP ADULTO LOCK/SLIP PCT/40 UND - DESCARPACK</x:v>
      </x:c>
      <x:c r="D229" s="22" t="str">
        <x:v>EQUIPO INFUSOR MULTIPLO VIAS CLAMP ADULTO LOCK SLIP</x:v>
      </x:c>
      <x:c r="E229" s="22" t="str">
        <x:v>EQUIPO INFUSOR MULTIPLO</x:v>
      </x:c>
      <x:c r="F229" s="22" t="str"/>
      <x:c r="G229" s="22" t="str"/>
      <x:c r="H229" s="22" t="str">
        <x:v>PCT/40 | UND | PCT | CONTEUDO40 | FATOR40</x:v>
      </x:c>
      <x:c r="I229" s="22" t="str">
        <x:v>OUTRA</x:v>
      </x:c>
      <x:c r="J229" s="22" t="str">
        <x:v>DESCARPACK</x:v>
      </x:c>
      <x:c r="K229" s="28" t="str"/>
      <x:c r="L229" s="28" t="str">
        <x:f>"90189010"</x:f>
        <x:v>90189010</x:v>
      </x:c>
      <x:c r="M229" s="22" t="str">
        <x:v>UN</x:v>
      </x:c>
      <x:c r="N229" s="22" t="str">
        <x:v>PCT</x:v>
      </x:c>
      <x:c r="O229" s="22" t="n">
        <x:v>40</x:v>
      </x:c>
      <x:c r="P229" s="28" t="str">
        <x:f>"417"</x:f>
        <x:v>417</x:v>
      </x:c>
      <x:c r="Q229" s="28" t="str">
        <x:f>"EIM0001"</x:f>
        <x:v>EIM0001</x:v>
      </x:c>
    </x:row>
    <x:row r="230">
      <x:c r="A230" s="22" t="n">
        <x:v>226</x:v>
      </x:c>
      <x:c r="B230" s="28" t="str">
        <x:f>"EMF0002"</x:f>
        <x:v>EMF0002</x:v>
      </x:c>
      <x:c r="C230" s="22" t="str">
        <x:v>EQUIPO MACRO FOTOSENSSÍVEL - CX/100 - LAMEDID</x:v>
      </x:c>
      <x:c r="D230" s="22" t="str">
        <x:v>EQUIPO MACRO FOTOSENSSIVEL</x:v>
      </x:c>
      <x:c r="E230" s="22" t="str">
        <x:v>EQUIPO MACRO FOTOSENSSIVEL</x:v>
      </x:c>
      <x:c r="F230" s="22" t="str"/>
      <x:c r="G230" s="22" t="str"/>
      <x:c r="H230" s="22" t="str">
        <x:v>CX/100 | CX | CONTEUDO50 | FATOR50</x:v>
      </x:c>
      <x:c r="I230" s="22" t="str">
        <x:v>CAIXA</x:v>
      </x:c>
      <x:c r="J230" s="22" t="str">
        <x:v>LAMEDID</x:v>
      </x:c>
      <x:c r="K230" s="28" t="str">
        <x:f>"GTIN: 7892905910927"</x:f>
        <x:v>GTIN: 7892905910927</x:v>
      </x:c>
      <x:c r="L230" s="28" t="str">
        <x:f>"90189010"</x:f>
        <x:v>90189010</x:v>
      </x:c>
      <x:c r="M230" s="22" t="str">
        <x:v>UN</x:v>
      </x:c>
      <x:c r="N230" s="22" t="str">
        <x:v>CX</x:v>
      </x:c>
      <x:c r="O230" s="22" t="n">
        <x:v>50</x:v>
      </x:c>
      <x:c r="P230" s="28" t="str">
        <x:f>"418"</x:f>
        <x:v>418</x:v>
      </x:c>
      <x:c r="Q230" s="28" t="str">
        <x:f>"EMF0002"</x:f>
        <x:v>EMF0002</x:v>
      </x:c>
    </x:row>
    <x:row r="231">
      <x:c r="A231" s="22" t="n">
        <x:v>227</x:v>
      </x:c>
      <x:c r="B231" s="28" t="str">
        <x:f>"EMC0006"</x:f>
        <x:v>EMC0006</x:v>
      </x:c>
      <x:c r="C231" s="22" t="str">
        <x:v>EQUIPO MACROGOTAS C/INJ LATERAL LUER LOCK - PCT/25 - LABOR IMPORT</x:v>
      </x:c>
      <x:c r="D231" s="22" t="str">
        <x:v>EQUIPO MACROGOTAS INJ LATERAL LUER LOCK</x:v>
      </x:c>
      <x:c r="E231" s="22" t="str">
        <x:v>EQUIPO MACROGOTAS INJ</x:v>
      </x:c>
      <x:c r="F231" s="22" t="str"/>
      <x:c r="G231" s="22" t="str"/>
      <x:c r="H231" s="22" t="str">
        <x:v>PCT/25 | PCT | CONTEUDO25 | FATOR25</x:v>
      </x:c>
      <x:c r="I231" s="22" t="str">
        <x:v>OUTRA</x:v>
      </x:c>
      <x:c r="J231" s="22" t="str">
        <x:v>LABOR IMPORT</x:v>
      </x:c>
      <x:c r="K231" s="28" t="str"/>
      <x:c r="L231" s="28" t="str">
        <x:f>"90189010"</x:f>
        <x:v>90189010</x:v>
      </x:c>
      <x:c r="M231" s="22" t="str">
        <x:v>UN</x:v>
      </x:c>
      <x:c r="N231" s="22" t="str">
        <x:v>PCT</x:v>
      </x:c>
      <x:c r="O231" s="22" t="n">
        <x:v>25</x:v>
      </x:c>
      <x:c r="P231" s="28" t="str">
        <x:f>"419"</x:f>
        <x:v>419</x:v>
      </x:c>
      <x:c r="Q231" s="28" t="str">
        <x:f>"EMC0006"</x:f>
        <x:v>EMC0006</x:v>
      </x:c>
    </x:row>
    <x:row r="232">
      <x:c r="A232" s="22" t="n">
        <x:v>228</x:v>
      </x:c>
      <x:c r="B232" s="28" t="str">
        <x:f>"EMC0004"</x:f>
        <x:v>EMC0004</x:v>
      </x:c>
      <x:c r="C232" s="22" t="str">
        <x:v>EQUIPO MACROGOTAS C/INJ LATERAL LUER LOCK PCT/25 DESCARPACK</x:v>
      </x:c>
      <x:c r="D232" s="22" t="str">
        <x:v>EQUIPO MACROGOTAS INJ LATERAL LUER LOCK</x:v>
      </x:c>
      <x:c r="E232" s="22" t="str">
        <x:v>EQUIPO MACROGOTAS INJ</x:v>
      </x:c>
      <x:c r="F232" s="22" t="str"/>
      <x:c r="G232" s="22" t="str"/>
      <x:c r="H232" s="22" t="str">
        <x:v>PCT/25 | PCT | CONTEUDO25 | FATOR25</x:v>
      </x:c>
      <x:c r="I232" s="22" t="str">
        <x:v>OUTRA</x:v>
      </x:c>
      <x:c r="J232" s="22" t="str">
        <x:v>DESCARPACK</x:v>
      </x:c>
      <x:c r="K232" s="28" t="str">
        <x:f>"GTIN: 7898283818633"</x:f>
        <x:v>GTIN: 7898283818633</x:v>
      </x:c>
      <x:c r="L232" s="28" t="str">
        <x:f>"90189010"</x:f>
        <x:v>90189010</x:v>
      </x:c>
      <x:c r="M232" s="22" t="str">
        <x:v>UN</x:v>
      </x:c>
      <x:c r="N232" s="22" t="str">
        <x:v>PCT</x:v>
      </x:c>
      <x:c r="O232" s="22" t="n">
        <x:v>25</x:v>
      </x:c>
      <x:c r="P232" s="28" t="str">
        <x:f>"420"</x:f>
        <x:v>420</x:v>
      </x:c>
      <x:c r="Q232" s="28" t="str">
        <x:f>"EMC0004"</x:f>
        <x:v>EMC0004</x:v>
      </x:c>
    </x:row>
    <x:row r="233">
      <x:c r="A233" s="22" t="n">
        <x:v>229</x:v>
      </x:c>
      <x:c r="B233" s="28" t="str">
        <x:f>"EMC0003"</x:f>
        <x:v>EMC0003</x:v>
      </x:c>
      <x:c r="C233" s="22" t="str">
        <x:v>EQUIPO MACROGOTAS C/INJ LATERAL LUER SLIP PCT/25 - MEDIX</x:v>
      </x:c>
      <x:c r="D233" s="22" t="str">
        <x:v>EQUIPO MACROGOTAS INJ LATERAL LUER SLIP</x:v>
      </x:c>
      <x:c r="E233" s="22" t="str">
        <x:v>EQUIPO MACROGOTAS INJ</x:v>
      </x:c>
      <x:c r="F233" s="22" t="str"/>
      <x:c r="G233" s="22" t="str"/>
      <x:c r="H233" s="22" t="str">
        <x:v>PCT/25 | PCT | CONTEUDO25 | FATOR25</x:v>
      </x:c>
      <x:c r="I233" s="22" t="str">
        <x:v>OUTRA</x:v>
      </x:c>
      <x:c r="J233" s="22" t="str">
        <x:v>MEDIX</x:v>
      </x:c>
      <x:c r="K233" s="28" t="str">
        <x:f>"GTIN: 7898283818633"</x:f>
        <x:v>GTIN: 7898283818633</x:v>
      </x:c>
      <x:c r="L233" s="28" t="str">
        <x:f>"90189010"</x:f>
        <x:v>90189010</x:v>
      </x:c>
      <x:c r="M233" s="22" t="str">
        <x:v>UN</x:v>
      </x:c>
      <x:c r="N233" s="22" t="str">
        <x:v>PCT</x:v>
      </x:c>
      <x:c r="O233" s="22" t="n">
        <x:v>25</x:v>
      </x:c>
      <x:c r="P233" s="28" t="str">
        <x:f>"421"</x:f>
        <x:v>421</x:v>
      </x:c>
      <x:c r="Q233" s="28" t="str">
        <x:f>"EMC0003"</x:f>
        <x:v>EMC0003</x:v>
      </x:c>
    </x:row>
    <x:row r="234">
      <x:c r="A234" s="22" t="n">
        <x:v>230</x:v>
      </x:c>
      <x:c r="B234" s="28" t="str">
        <x:f>"EMC0001"</x:f>
        <x:v>EMC0001</x:v>
      </x:c>
      <x:c r="C234" s="22" t="str">
        <x:v>EQUIPO MACROGOTAS C/INJ LATERAL LUER SLIP PCT/25 DESCARPACK</x:v>
      </x:c>
      <x:c r="D234" s="22" t="str">
        <x:v>EQUIPO MACROGOTAS INJ LATERAL LUER SLIP</x:v>
      </x:c>
      <x:c r="E234" s="22" t="str">
        <x:v>EQUIPO MACROGOTAS INJ</x:v>
      </x:c>
      <x:c r="F234" s="22" t="str"/>
      <x:c r="G234" s="22" t="str"/>
      <x:c r="H234" s="22" t="str">
        <x:v>PCT/25 | PCT | CONTEUDO25 | FATOR25</x:v>
      </x:c>
      <x:c r="I234" s="22" t="str">
        <x:v>OUTRA</x:v>
      </x:c>
      <x:c r="J234" s="22" t="str">
        <x:v>DESCARPACK</x:v>
      </x:c>
      <x:c r="K234" s="28" t="str">
        <x:f>"GTIN: 7898283818633"</x:f>
        <x:v>GTIN: 7898283818633</x:v>
      </x:c>
      <x:c r="L234" s="28" t="str">
        <x:f>"90189010"</x:f>
        <x:v>90189010</x:v>
      </x:c>
      <x:c r="M234" s="22" t="str">
        <x:v>UN</x:v>
      </x:c>
      <x:c r="N234" s="22" t="str">
        <x:v>PCT</x:v>
      </x:c>
      <x:c r="O234" s="22" t="n">
        <x:v>25</x:v>
      </x:c>
      <x:c r="P234" s="28" t="str">
        <x:f>"422"</x:f>
        <x:v>422</x:v>
      </x:c>
      <x:c r="Q234" s="28" t="str">
        <x:f>"EMC0001"</x:f>
        <x:v>EMC0001</x:v>
      </x:c>
    </x:row>
    <x:row r="235">
      <x:c r="A235" s="22" t="n">
        <x:v>231</x:v>
      </x:c>
      <x:c r="B235" s="28" t="str">
        <x:f>"EMC0002"</x:f>
        <x:v>EMC0002</x:v>
      </x:c>
      <x:c r="C235" s="22" t="str">
        <x:v>EQUIPO MICROGOTAS C/INJ LATERAL LUER LOCK - PCT/25 - LABOR IMPORT</x:v>
      </x:c>
      <x:c r="D235" s="22" t="str">
        <x:v>EQUIPO MICROGOTAS INJ LATERAL LUER LOCK</x:v>
      </x:c>
      <x:c r="E235" s="22" t="str">
        <x:v>EQUIPO MICROGOTAS INJ</x:v>
      </x:c>
      <x:c r="F235" s="22" t="str"/>
      <x:c r="G235" s="22" t="str"/>
      <x:c r="H235" s="22" t="str">
        <x:v>PCT/25 | PCT | CONTEUDO25 | FATOR25</x:v>
      </x:c>
      <x:c r="I235" s="22" t="str">
        <x:v>OUTRA</x:v>
      </x:c>
      <x:c r="J235" s="22" t="str">
        <x:v>LABOR IMPORT</x:v>
      </x:c>
      <x:c r="K235" s="28" t="str"/>
      <x:c r="L235" s="28" t="str">
        <x:f>"90189010"</x:f>
        <x:v>90189010</x:v>
      </x:c>
      <x:c r="M235" s="22" t="str">
        <x:v>UN</x:v>
      </x:c>
      <x:c r="N235" s="22" t="str">
        <x:v>PCT</x:v>
      </x:c>
      <x:c r="O235" s="22" t="n">
        <x:v>25</x:v>
      </x:c>
      <x:c r="P235" s="28" t="str">
        <x:f>"423"</x:f>
        <x:v>423</x:v>
      </x:c>
      <x:c r="Q235" s="28" t="str">
        <x:f>"EMC0002"</x:f>
        <x:v>EMC0002</x:v>
      </x:c>
    </x:row>
    <x:row r="236">
      <x:c r="A236" s="22" t="n">
        <x:v>232</x:v>
      </x:c>
      <x:c r="B236" s="28" t="str">
        <x:f>"EMF0001"</x:f>
        <x:v>EMF0001</x:v>
      </x:c>
      <x:c r="C236" s="22" t="str">
        <x:v>EQUIPO MICROGOTAS FOTOSENSSÍVEL P/ BOMBA INFUSORA (EV-HART AIR MINIMAX FILTRO 15 MICRA) - CX/50 - HARTMANN CÓD. 170.151</x:v>
      </x:c>
      <x:c r="D236" s="22" t="str">
        <x:v>EQUIPO MICROGOTAS FOTOSENSSIVEL BOMBA INFUSORA COD</x:v>
      </x:c>
      <x:c r="E236" s="22" t="str">
        <x:v>EQUIPO MICROGOTAS FOTOSENSSIVEL</x:v>
      </x:c>
      <x:c r="F236" s="22" t="str"/>
      <x:c r="G236" s="22" t="str"/>
      <x:c r="H236" s="22" t="str">
        <x:v>CX/50 | CX | CONTEUDO50 | FATOR50</x:v>
      </x:c>
      <x:c r="I236" s="22" t="str">
        <x:v>CAIXA</x:v>
      </x:c>
      <x:c r="J236" s="22" t="str">
        <x:v>HARTMANN</x:v>
      </x:c>
      <x:c r="K236" s="28" t="str">
        <x:f>"GTIN: 7892905910927"</x:f>
        <x:v>GTIN: 7892905910927</x:v>
      </x:c>
      <x:c r="L236" s="28" t="str">
        <x:f>"90189010"</x:f>
        <x:v>90189010</x:v>
      </x:c>
      <x:c r="M236" s="22" t="str">
        <x:v>UN</x:v>
      </x:c>
      <x:c r="N236" s="22" t="str">
        <x:v>CX</x:v>
      </x:c>
      <x:c r="O236" s="22" t="n">
        <x:v>50</x:v>
      </x:c>
      <x:c r="P236" s="28" t="str">
        <x:f>"424"</x:f>
        <x:v>424</x:v>
      </x:c>
      <x:c r="Q236" s="28" t="str">
        <x:f>"EMF0001"</x:f>
        <x:v>EMF0001</x:v>
      </x:c>
    </x:row>
    <x:row r="237">
      <x:c r="A237" s="22" t="n">
        <x:v>233</x:v>
      </x:c>
      <x:c r="B237" s="28" t="str">
        <x:f>"EMP0001"</x:f>
        <x:v>EMP0001</x:v>
      </x:c>
      <x:c r="C237" s="22" t="str">
        <x:v>EQUIPO MICROGOTAS P/ BOMBA INFUSORA (EV-HART AIR MINIMAX FILTRO 15 MICRA) - CX/50 - HARTMANN CÓD. 170.102</x:v>
      </x:c>
      <x:c r="D237" s="22" t="str">
        <x:v>EQUIPO MICROGOTAS BOMBA INFUSORA COD</x:v>
      </x:c>
      <x:c r="E237" s="22" t="str">
        <x:v>EQUIPO MICROGOTAS BOMBA</x:v>
      </x:c>
      <x:c r="F237" s="22" t="str"/>
      <x:c r="G237" s="22" t="str"/>
      <x:c r="H237" s="22" t="str">
        <x:v>CX/50 | CX | CONTEUDO50 | FATOR50</x:v>
      </x:c>
      <x:c r="I237" s="22" t="str">
        <x:v>CAIXA</x:v>
      </x:c>
      <x:c r="J237" s="22" t="str">
        <x:v>HARTMANN</x:v>
      </x:c>
      <x:c r="K237" s="28" t="str">
        <x:f>"GTIN: 7892905910453"</x:f>
        <x:v>GTIN: 7892905910453</x:v>
      </x:c>
      <x:c r="L237" s="28" t="str">
        <x:f>"90189010"</x:f>
        <x:v>90189010</x:v>
      </x:c>
      <x:c r="M237" s="22" t="str">
        <x:v>UN</x:v>
      </x:c>
      <x:c r="N237" s="22" t="str">
        <x:v>CX</x:v>
      </x:c>
      <x:c r="O237" s="22" t="n">
        <x:v>50</x:v>
      </x:c>
      <x:c r="P237" s="28" t="str">
        <x:f>"425"</x:f>
        <x:v>425</x:v>
      </x:c>
      <x:c r="Q237" s="28" t="str">
        <x:f>"EMP0001"</x:f>
        <x:v>EMP0001</x:v>
      </x:c>
    </x:row>
    <x:row r="238">
      <x:c r="A238" s="22" t="n">
        <x:v>234</x:v>
      </x:c>
      <x:c r="B238" s="28" t="str">
        <x:f>"EDC0001"</x:f>
        <x:v>EDC0001</x:v>
      </x:c>
      <x:c r="C238" s="22" t="str">
        <x:v>ESCOVA DESC. C/ CLORHEXIDINA 2% 22 ML - VIC PHARMA</x:v>
      </x:c>
      <x:c r="D238" s="22" t="str">
        <x:v>ESCOVA DESC CLORHEXIDINA %</x:v>
      </x:c>
      <x:c r="E238" s="22" t="str">
        <x:v>ESCOVA DESC CLORHEXIDINA</x:v>
      </x:c>
      <x:c r="F238" s="22" t="str">
        <x:v>22ML</x:v>
      </x:c>
      <x:c r="G238" s="22" t="str"/>
      <x:c r="H238" s="22" t="str">
        <x:v>UN</x:v>
      </x:c>
      <x:c r="I238" s="22" t="str">
        <x:v>UNIDADE</x:v>
      </x:c>
      <x:c r="J238" s="22" t="str">
        <x:v>VIC PHARMA</x:v>
      </x:c>
      <x:c r="K238" s="28" t="str"/>
      <x:c r="L238" s="28" t="str">
        <x:f>"30049047"</x:f>
        <x:v>30049047</x:v>
      </x:c>
      <x:c r="M238" s="22" t="str">
        <x:v>UN</x:v>
      </x:c>
      <x:c r="N238" s="22" t="str">
        <x:v>UN</x:v>
      </x:c>
      <x:c r="O238" s="22" t="n">
        <x:v>1</x:v>
      </x:c>
      <x:c r="P238" s="28" t="str">
        <x:f>"426"</x:f>
        <x:v>426</x:v>
      </x:c>
      <x:c r="Q238" s="28" t="str">
        <x:f>"EDC0001"</x:f>
        <x:v>EDC0001</x:v>
      </x:c>
    </x:row>
    <x:row r="239">
      <x:c r="A239" s="22" t="n">
        <x:v>235</x:v>
      </x:c>
      <x:c r="B239" s="28" t="str">
        <x:f>"EI10001"</x:f>
        <x:v>EI10001</x:v>
      </x:c>
      <x:c r="C239" s="22" t="str">
        <x:v>ESPARADRAPO IMPERMEÁVEL 10CMX4,5M - HAIBRETH</x:v>
      </x:c>
      <x:c r="D239" s="22" t="str">
        <x:v>ESPARADRAPO IMPERMEAVEL 10CMX4 5M</x:v>
      </x:c>
      <x:c r="E239" s="22" t="str">
        <x:v>ESPARADRAPO IMPERMEAVEL 10CMX4</x:v>
      </x:c>
      <x:c r="F239" s="22" t="str"/>
      <x:c r="G239" s="22" t="str"/>
      <x:c r="H239" s="22" t="str">
        <x:v>CX | CONTEUDO24 | FATOR24</x:v>
      </x:c>
      <x:c r="I239" s="22" t="str">
        <x:v>CAIXA</x:v>
      </x:c>
      <x:c r="J239" s="22" t="str">
        <x:v>HAIBRETH</x:v>
      </x:c>
      <x:c r="K239" s="28" t="str"/>
      <x:c r="L239" s="28" t="str">
        <x:f>"30051090"</x:f>
        <x:v>30051090</x:v>
      </x:c>
      <x:c r="M239" s="22" t="str">
        <x:v>UN</x:v>
      </x:c>
      <x:c r="N239" s="22" t="str">
        <x:v>CX</x:v>
      </x:c>
      <x:c r="O239" s="22" t="n">
        <x:v>24</x:v>
      </x:c>
      <x:c r="P239" s="28" t="str">
        <x:f>"427"</x:f>
        <x:v>427</x:v>
      </x:c>
      <x:c r="Q239" s="28" t="str">
        <x:f>"EI10001"</x:f>
        <x:v>EI10001</x:v>
      </x:c>
    </x:row>
    <x:row r="240">
      <x:c r="A240" s="22" t="n">
        <x:v>236</x:v>
      </x:c>
      <x:c r="B240" s="28" t="str">
        <x:f>"EI50001"</x:f>
        <x:v>EI50001</x:v>
      </x:c>
      <x:c r="C240" s="22" t="str">
        <x:v>ESPARADRAPO IMPERMEÁVEL 10CMX4,5M - MISSNER</x:v>
      </x:c>
      <x:c r="D240" s="22" t="str">
        <x:v>ESPARADRAPO IMPERMEAVEL 10CMX4 5M</x:v>
      </x:c>
      <x:c r="E240" s="22" t="str">
        <x:v>ESPARADRAPO IMPERMEAVEL 10CMX4</x:v>
      </x:c>
      <x:c r="F240" s="22" t="str"/>
      <x:c r="G240" s="22" t="str"/>
      <x:c r="H240" s="22" t="str">
        <x:v>CX | CONTEUDO24 | FATOR24</x:v>
      </x:c>
      <x:c r="I240" s="22" t="str">
        <x:v>CAIXA</x:v>
      </x:c>
      <x:c r="J240" s="22" t="str">
        <x:v>MISSNER</x:v>
      </x:c>
      <x:c r="K240" s="28" t="str">
        <x:f>"GTIN: 7908414483804"</x:f>
        <x:v>GTIN: 7908414483804</x:v>
      </x:c>
      <x:c r="L240" s="28" t="str">
        <x:f>"30051090"</x:f>
        <x:v>30051090</x:v>
      </x:c>
      <x:c r="M240" s="22" t="str">
        <x:v>UN</x:v>
      </x:c>
      <x:c r="N240" s="22" t="str">
        <x:v>CX</x:v>
      </x:c>
      <x:c r="O240" s="22" t="n">
        <x:v>24</x:v>
      </x:c>
      <x:c r="P240" s="28" t="str">
        <x:f>"428"</x:f>
        <x:v>428</x:v>
      </x:c>
      <x:c r="Q240" s="28" t="str">
        <x:f>"EI50001"</x:f>
        <x:v>EI50001</x:v>
      </x:c>
    </x:row>
    <x:row r="241">
      <x:c r="A241" s="22" t="n">
        <x:v>237</x:v>
      </x:c>
      <x:c r="B241" s="28" t="str">
        <x:f>"EI10002"</x:f>
        <x:v>EI10002</x:v>
      </x:c>
      <x:c r="C241" s="22" t="str">
        <x:v>ESPARADRAPO IMPÉRMEAVEL 5X4,5 - MISSNER - ADPELE</x:v>
      </x:c>
      <x:c r="D241" s="22" t="str">
        <x:v>ESPARADRAPO IMPERMEAVEL ADPELE</x:v>
      </x:c>
      <x:c r="E241" s="22" t="str">
        <x:v>ESPARADRAPO IMPERMEAVEL ADPELE</x:v>
      </x:c>
      <x:c r="F241" s="22" t="str"/>
      <x:c r="G241" s="22" t="str">
        <x:v>5X4,5</x:v>
      </x:c>
      <x:c r="H241" s="22" t="str">
        <x:v>CX | CONTEUDO24 | FATOR24</x:v>
      </x:c>
      <x:c r="I241" s="22" t="str">
        <x:v>CAIXA</x:v>
      </x:c>
      <x:c r="J241" s="22" t="str">
        <x:v>MISSNER</x:v>
      </x:c>
      <x:c r="K241" s="28" t="str">
        <x:f>"GTIN: 7891800802757"</x:f>
        <x:v>GTIN: 7891800802757</x:v>
      </x:c>
      <x:c r="L241" s="28" t="str">
        <x:f>"30051090"</x:f>
        <x:v>30051090</x:v>
      </x:c>
      <x:c r="M241" s="22" t="str">
        <x:v>UN</x:v>
      </x:c>
      <x:c r="N241" s="22" t="str">
        <x:v>CX</x:v>
      </x:c>
      <x:c r="O241" s="22" t="n">
        <x:v>24</x:v>
      </x:c>
      <x:c r="P241" s="28" t="str">
        <x:f>"429"</x:f>
        <x:v>429</x:v>
      </x:c>
      <x:c r="Q241" s="28" t="str">
        <x:f>"EI10002"</x:f>
        <x:v>EI10002</x:v>
      </x:c>
    </x:row>
    <x:row r="242">
      <x:c r="A242" s="22" t="n">
        <x:v>238</x:v>
      </x:c>
      <x:c r="B242" s="28" t="str">
        <x:f>"ESL0001"</x:f>
        <x:v>ESL0001</x:v>
      </x:c>
      <x:c r="C242" s="22" t="str">
        <x:v>ESPECULO S/ LUB ESTÉRIL TAM P UN - CRAL</x:v>
      </x:c>
      <x:c r="D242" s="22" t="str">
        <x:v>ESPECULO LUB ESTERIL TAM P</x:v>
      </x:c>
      <x:c r="E242" s="22" t="str">
        <x:v>ESPECULO LUB ESTERIL</x:v>
      </x:c>
      <x:c r="F242" s="22" t="str"/>
      <x:c r="G242" s="22" t="str">
        <x:v>TAMP</x:v>
      </x:c>
      <x:c r="H242" s="22" t="str">
        <x:v>UN</x:v>
      </x:c>
      <x:c r="I242" s="22" t="str">
        <x:v>UNIDADE</x:v>
      </x:c>
      <x:c r="J242" s="22" t="str">
        <x:v>CRAL</x:v>
      </x:c>
      <x:c r="K242" s="28" t="str"/>
      <x:c r="L242" s="28" t="str">
        <x:f>"90189099"</x:f>
        <x:v>90189099</x:v>
      </x:c>
      <x:c r="M242" s="22" t="str">
        <x:v>UN</x:v>
      </x:c>
      <x:c r="N242" s="22" t="str">
        <x:v>UN</x:v>
      </x:c>
      <x:c r="O242" s="22" t="n">
        <x:v>1</x:v>
      </x:c>
      <x:c r="P242" s="28" t="str">
        <x:f>"430"</x:f>
        <x:v>430</x:v>
      </x:c>
      <x:c r="Q242" s="28" t="str">
        <x:f>"ESL0001"</x:f>
        <x:v>ESL0001</x:v>
      </x:c>
    </x:row>
    <x:row r="243">
      <x:c r="A243" s="22" t="n">
        <x:v>239</x:v>
      </x:c>
      <x:c r="B243" s="28" t="str">
        <x:f>"EH10001"</x:f>
        <x:v>EH10001</x:v>
      </x:c>
      <x:c r="C243" s="22" t="str">
        <x:v>ESPONJA HEMOSTATICA 125X80X10MM - CUTANPLAST</x:v>
      </x:c>
      <x:c r="D243" s="22" t="str">
        <x:v>ESPONJA HEMOSTATICA</x:v>
      </x:c>
      <x:c r="E243" s="22" t="str">
        <x:v>ESPONJA HEMOSTATICA</x:v>
      </x:c>
      <x:c r="F243" s="22" t="str"/>
      <x:c r="G243" s="22" t="str">
        <x:v>125X80X10MM</x:v>
      </x:c>
      <x:c r="H243" s="22" t="str">
        <x:v>UND</x:v>
      </x:c>
      <x:c r="I243" s="22" t="str">
        <x:v>UNIDADE</x:v>
      </x:c>
      <x:c r="J243" s="22" t="str">
        <x:v>CUTANPLAST</x:v>
      </x:c>
      <x:c r="K243" s="28" t="str">
        <x:f>"GTIN: 7898254941919"</x:f>
        <x:v>GTIN: 7898254941919</x:v>
      </x:c>
      <x:c r="L243" s="28" t="str">
        <x:f>"30061090"</x:f>
        <x:v>30061090</x:v>
      </x:c>
      <x:c r="M243" s="22" t="str">
        <x:v>UND</x:v>
      </x:c>
      <x:c r="N243" s="22" t="str">
        <x:v>UND</x:v>
      </x:c>
      <x:c r="O243" s="22" t="n">
        <x:v>1</x:v>
      </x:c>
      <x:c r="P243" s="28" t="str">
        <x:f>"431"</x:f>
        <x:v>431</x:v>
      </x:c>
      <x:c r="Q243" s="28" t="str">
        <x:f>"EH10001"</x:f>
        <x:v>EH10001</x:v>
      </x:c>
    </x:row>
    <x:row r="244">
      <x:c r="A244" s="22" t="n">
        <x:v>240</x:v>
      </x:c>
      <x:c r="B244" s="28" t="str">
        <x:f>"EH10006"</x:f>
        <x:v>EH10006</x:v>
      </x:c>
      <x:c r="C244" s="22" t="str">
        <x:v>ESPONJA HEMOSTATICA 125X80X10MM - MAQUIRA (HEMOSPON)</x:v>
      </x:c>
      <x:c r="D244" s="22" t="str">
        <x:v>ESPONJA HEMOSTATICA</x:v>
      </x:c>
      <x:c r="E244" s="22" t="str">
        <x:v>ESPONJA HEMOSTATICA</x:v>
      </x:c>
      <x:c r="F244" s="22" t="str"/>
      <x:c r="G244" s="22" t="str">
        <x:v>125X80X10MM</x:v>
      </x:c>
      <x:c r="H244" s="22" t="str">
        <x:v>UND</x:v>
      </x:c>
      <x:c r="I244" s="22" t="str">
        <x:v>UNIDADE</x:v>
      </x:c>
      <x:c r="J244" s="22" t="str">
        <x:v>MAQUIRA</x:v>
      </x:c>
      <x:c r="K244" s="28" t="str">
        <x:f>"GTIN: 7898254941919"</x:f>
        <x:v>GTIN: 7898254941919</x:v>
      </x:c>
      <x:c r="L244" s="28" t="str">
        <x:f>"30061090"</x:f>
        <x:v>30061090</x:v>
      </x:c>
      <x:c r="M244" s="22" t="str">
        <x:v>UND</x:v>
      </x:c>
      <x:c r="N244" s="22" t="str">
        <x:v>UND</x:v>
      </x:c>
      <x:c r="O244" s="22" t="n">
        <x:v>1</x:v>
      </x:c>
      <x:c r="P244" s="28" t="str">
        <x:f>"432 | 433 | 434 | 435 | 436 | 437 | 438 | 439 | 440 | 441 | 442 | 443 | 444 | 445 | 446 | 447 | 448"</x:f>
        <x:v>432 | 433 | 434 | 435 | 436 | 437 | 438 | 439 | 440 | 441 | 442 | 443 | 444 | 445 | 446 | 447 | 448</x:v>
      </x:c>
      <x:c r="Q244" s="28" t="str">
        <x:f>"EHH0009 | EH10006 | EHH0007 | EHH0018 | EHH0016 | EHH0014 | EHH0006 | EHH0017 | EHH0013 | EHH0012 | EHH0010 | EHH0004 | EH10003 | EHH0019 | EH10004 | EHH0008 | EHH0011"</x:f>
        <x:v>EHH0009 | EH10006 | EHH0007 | EHH0018 | EHH0016 | EHH0014 | EHH0006 | EHH0017 | EHH0013 | EHH0012 | EHH0010 | EHH0004 | EH10003 | EHH0019 | EH10004 | EHH0008 | EHH0011</x:v>
      </x:c>
    </x:row>
    <x:row r="245">
      <x:c r="A245" s="22" t="n">
        <x:v>241</x:v>
      </x:c>
      <x:c r="B245" s="28" t="str">
        <x:f>"E10001"</x:f>
        <x:v>E10001</x:v>
      </x:c>
      <x:c r="C245" s="22" t="str">
        <x:v>ETILEFRINA 10MG/1ML AP CX6 UNIÃO QUIMICA</x:v>
      </x:c>
      <x:c r="D245" s="22" t="str">
        <x:v>ETILEFRINA</x:v>
      </x:c>
      <x:c r="E245" s="22" t="str">
        <x:v>ETILEFRINA</x:v>
      </x:c>
      <x:c r="F245" s="22" t="str">
        <x:v>10MG/1ML | 10MG | 1ML</x:v>
      </x:c>
      <x:c r="G245" s="22" t="str"/>
      <x:c r="H245" s="22" t="str">
        <x:v>AP | CX6 | UND</x:v>
      </x:c>
      <x:c r="I245" s="22" t="str">
        <x:v>UNIDADE</x:v>
      </x:c>
      <x:c r="J245" s="22" t="str">
        <x:v>UNIÃO QUIMICA</x:v>
      </x:c>
      <x:c r="K245" s="28" t="str"/>
      <x:c r="L245" s="28" t="str">
        <x:f>"30049039"</x:f>
        <x:v>30049039</x:v>
      </x:c>
      <x:c r="M245" s="22" t="str">
        <x:v>UND</x:v>
      </x:c>
      <x:c r="N245" s="22" t="str">
        <x:v>UND</x:v>
      </x:c>
      <x:c r="O245" s="22" t="n">
        <x:v>1</x:v>
      </x:c>
      <x:c r="P245" s="28" t="str">
        <x:f>"449"</x:f>
        <x:v>449</x:v>
      </x:c>
      <x:c r="Q245" s="28" t="str">
        <x:f>"E10001"</x:f>
        <x:v>E10001</x:v>
      </x:c>
    </x:row>
    <x:row r="246">
      <x:c r="A246" s="22" t="n">
        <x:v>242</x:v>
      </x:c>
      <x:c r="B246" s="28" t="str">
        <x:f>"ECA0001"</x:f>
        <x:v>ECA0001</x:v>
      </x:c>
      <x:c r="C246" s="22" t="str">
        <x:v>EXTENSOR CATÉTER AD 12FR X 120CM P/ INFUSÃO ADULTO - MEDSONDA</x:v>
      </x:c>
      <x:c r="D246" s="22" t="str">
        <x:v>EXTENSOR CATETER AD 12FR X INFUSAO ADULTO</x:v>
      </x:c>
      <x:c r="E246" s="22" t="str">
        <x:v>EXTENSOR CATETER AD</x:v>
      </x:c>
      <x:c r="F246" s="22" t="str"/>
      <x:c r="G246" s="22" t="str"/>
      <x:c r="H246" s="22" t="str">
        <x:v>UN</x:v>
      </x:c>
      <x:c r="I246" s="22" t="str">
        <x:v>UNIDADE</x:v>
      </x:c>
      <x:c r="J246" s="22" t="str">
        <x:v>MEDSONDA</x:v>
      </x:c>
      <x:c r="K246" s="28" t="str">
        <x:f>"GTIN: 7892905950428"</x:f>
        <x:v>GTIN: 7892905950428</x:v>
      </x:c>
      <x:c r="L246" s="28" t="str">
        <x:f>"90183929"</x:f>
        <x:v>90183929</x:v>
      </x:c>
      <x:c r="M246" s="22" t="str">
        <x:v>UN</x:v>
      </x:c>
      <x:c r="N246" s="22" t="str">
        <x:v>UN</x:v>
      </x:c>
      <x:c r="O246" s="22" t="n">
        <x:v>1</x:v>
      </x:c>
      <x:c r="P246" s="28" t="str">
        <x:f>"450"</x:f>
        <x:v>450</x:v>
      </x:c>
      <x:c r="Q246" s="28" t="str">
        <x:f>"ECA0001"</x:f>
        <x:v>ECA0001</x:v>
      </x:c>
    </x:row>
    <x:row r="247">
      <x:c r="A247" s="22" t="n">
        <x:v>243</x:v>
      </x:c>
      <x:c r="B247" s="28" t="str">
        <x:f>"FS50002"</x:f>
        <x:v>FS50002</x:v>
      </x:c>
      <x:c r="C247" s="22" t="str">
        <x:v>FENITOÍNA SÓDICA 50MG/ML 5ML - CX/72 - TEUTO</x:v>
      </x:c>
      <x:c r="D247" s="22" t="str">
        <x:v>FENITOINA SODICA</x:v>
      </x:c>
      <x:c r="E247" s="22" t="str">
        <x:v>FENITOINA SODICA</x:v>
      </x:c>
      <x:c r="F247" s="22" t="str">
        <x:v>50MG/ML | 50MG | 5ML</x:v>
      </x:c>
      <x:c r="G247" s="22" t="str"/>
      <x:c r="H247" s="22" t="str">
        <x:v>CX/72 | CX | CONTEUDO10 | FATOR10</x:v>
      </x:c>
      <x:c r="I247" s="22" t="str">
        <x:v>CAIXA</x:v>
      </x:c>
      <x:c r="J247" s="22" t="str">
        <x:v>TEUTO</x:v>
      </x:c>
      <x:c r="K247" s="28" t="str">
        <x:f>"GTIN: 7896112114192"</x:f>
        <x:v>GTIN: 7896112114192</x:v>
      </x:c>
      <x:c r="L247" s="28" t="str">
        <x:f>"30049079"</x:f>
        <x:v>30049079</x:v>
      </x:c>
      <x:c r="M247" s="22" t="str">
        <x:v>UN</x:v>
      </x:c>
      <x:c r="N247" s="22" t="str">
        <x:v>CX</x:v>
      </x:c>
      <x:c r="O247" s="22" t="n">
        <x:v>10</x:v>
      </x:c>
      <x:c r="P247" s="28" t="str">
        <x:f>"451 | 452 | 453"</x:f>
        <x:v>451 | 452 | 453</x:v>
      </x:c>
      <x:c r="Q247" s="28" t="str">
        <x:f>"FS50003 | FS50002 | FS50004"</x:f>
        <x:v>FS50003 | FS50002 | FS50004</x:v>
      </x:c>
    </x:row>
    <x:row r="248">
      <x:c r="A248" s="22" t="n">
        <x:v>244</x:v>
      </x:c>
      <x:c r="B248" s="28" t="str">
        <x:f>"F1C0001"</x:f>
        <x:v>F1C0001</x:v>
      </x:c>
      <x:c r="C248" s="22" t="str">
        <x:v>FENOBARBITAL 100MG - CX/200 - CART/10CP - (FENOCRIS) CRISTALIA</x:v>
      </x:c>
      <x:c r="D248" s="22" t="str">
        <x:v>FENOBARBITAL CART 10CP</x:v>
      </x:c>
      <x:c r="E248" s="22" t="str">
        <x:v>FENOBARBITAL CART 10CP</x:v>
      </x:c>
      <x:c r="F248" s="22" t="str">
        <x:v>100MG</x:v>
      </x:c>
      <x:c r="G248" s="22" t="str"/>
      <x:c r="H248" s="22" t="str">
        <x:v>CX/200 | 1C/10C</x:v>
      </x:c>
      <x:c r="I248" s="22" t="str">
        <x:v>OUTRA</x:v>
      </x:c>
      <x:c r="J248" s="22" t="str">
        <x:v>CRISTALIA</x:v>
      </x:c>
      <x:c r="K248" s="28" t="str">
        <x:f>"GTIN: 7896676403299"</x:f>
        <x:v>GTIN: 7896676403299</x:v>
      </x:c>
      <x:c r="L248" s="28" t="str">
        <x:f>"30049069"</x:f>
        <x:v>30049069</x:v>
      </x:c>
      <x:c r="M248" s="22" t="str">
        <x:v>1C/10C</x:v>
      </x:c>
      <x:c r="N248" s="22" t="str">
        <x:v>1C/10C</x:v>
      </x:c>
      <x:c r="O248" s="22" t="n">
        <x:v>1</x:v>
      </x:c>
      <x:c r="P248" s="28" t="str">
        <x:f>"454"</x:f>
        <x:v>454</x:v>
      </x:c>
      <x:c r="Q248" s="28" t="str">
        <x:f>"F1C0001"</x:f>
        <x:v>F1C0001</x:v>
      </x:c>
    </x:row>
    <x:row r="249">
      <x:c r="A249" s="22" t="n">
        <x:v>245</x:v>
      </x:c>
      <x:c r="B249" s="28" t="str">
        <x:f>"F370002"</x:f>
        <x:v>F370002</x:v>
      </x:c>
      <x:c r="C249" s="22" t="str">
        <x:v>FIO BIOLINE SB10X20CM ABSORVIVEL</x:v>
      </x:c>
      <x:c r="D249" s="22" t="str">
        <x:v>FIO SB10X20CM ABSORVIVEL</x:v>
      </x:c>
      <x:c r="E249" s="22" t="str">
        <x:v>FIO SB10X20CM ABSORVIVEL</x:v>
      </x:c>
      <x:c r="F249" s="22" t="str"/>
      <x:c r="G249" s="22" t="str"/>
      <x:c r="H249" s="22" t="str">
        <x:v>UND</x:v>
      </x:c>
      <x:c r="I249" s="22" t="str">
        <x:v>UNIDADE</x:v>
      </x:c>
      <x:c r="J249" s="22" t="str">
        <x:v>BIOLINE</x:v>
      </x:c>
      <x:c r="K249" s="28" t="str">
        <x:f>"GTIN: 7899825731816"</x:f>
        <x:v>GTIN: 7899825731816</x:v>
      </x:c>
      <x:c r="L249" s="28" t="str">
        <x:f>"81029600"</x:f>
        <x:v>81029600</x:v>
      </x:c>
      <x:c r="M249" s="22" t="str">
        <x:v>UND</x:v>
      </x:c>
      <x:c r="N249" s="22" t="str">
        <x:v>UND</x:v>
      </x:c>
      <x:c r="O249" s="22" t="n">
        <x:v>1</x:v>
      </x:c>
      <x:c r="P249" s="28" t="str">
        <x:f>"455 | 456"</x:f>
        <x:v>455 | 456</x:v>
      </x:c>
      <x:c r="Q249" s="28" t="str">
        <x:f>"F370002 | FBS0001"</x:f>
        <x:v>F370002 | FBS0001</x:v>
      </x:c>
    </x:row>
    <x:row r="250">
      <x:c r="A250" s="22" t="n">
        <x:v>246</x:v>
      </x:c>
      <x:c r="B250" s="28" t="str">
        <x:f>"F210001"</x:f>
        <x:v>F210001</x:v>
      </x:c>
      <x:c r="C250" s="22" t="str">
        <x:v>FIO DE ALGODÃO COM POLIÉSTER 2.0 15X45CM AZUL TORCIDO SEM AGULHA - CX/24 - BIOLINE</x:v>
      </x:c>
      <x:c r="D250" s="22" t="str">
        <x:v>FIO ALGODAO COM POLIESTER AZUL TORCIDO SEM AGULHA</x:v>
      </x:c>
      <x:c r="E250" s="22" t="str">
        <x:v>FIO ALGODAO COM</x:v>
      </x:c>
      <x:c r="F250" s="22" t="str"/>
      <x:c r="G250" s="22" t="str">
        <x:v>15X45CM</x:v>
      </x:c>
      <x:c r="H250" s="22" t="str">
        <x:v>CX/24 | UND</x:v>
      </x:c>
      <x:c r="I250" s="22" t="str">
        <x:v>UNIDADE</x:v>
      </x:c>
      <x:c r="J250" s="22" t="str">
        <x:v>BIOLINE</x:v>
      </x:c>
      <x:c r="K250" s="28" t="str">
        <x:f>"GTIN: 7899825713362"</x:f>
        <x:v>GTIN: 7899825713362</x:v>
      </x:c>
      <x:c r="L250" s="28" t="str">
        <x:f>"81029600"</x:f>
        <x:v>81029600</x:v>
      </x:c>
      <x:c r="M250" s="22" t="str">
        <x:v>UND</x:v>
      </x:c>
      <x:c r="N250" s="22" t="str">
        <x:v>UND</x:v>
      </x:c>
      <x:c r="O250" s="22" t="n">
        <x:v>1</x:v>
      </x:c>
      <x:c r="P250" s="28" t="str">
        <x:f>"457"</x:f>
        <x:v>457</x:v>
      </x:c>
      <x:c r="Q250" s="28" t="str">
        <x:f>"F210001"</x:f>
        <x:v>F210001</x:v>
      </x:c>
    </x:row>
    <x:row r="251">
      <x:c r="A251" s="22" t="n">
        <x:v>247</x:v>
      </x:c>
      <x:c r="B251" s="28" t="str">
        <x:f>"F070001"</x:f>
        <x:v>F070001</x:v>
      </x:c>
      <x:c r="C251" s="22" t="str">
        <x:v>FIO DE POLIPROPILENO 0 C/ AGULHA 1/2 CILINDRICA 35MM 75CM MONOFILAMENTO AZUL - CX/24 - SUTUMED</x:v>
      </x:c>
      <x:c r="D251" s="22" t="str">
        <x:v>FIO POLIPROPILENO AGULHA CILINDRICA MONOFILAMENTO AZUL</x:v>
      </x:c>
      <x:c r="E251" s="22" t="str">
        <x:v>FIO POLIPROPILENO AGULHA</x:v>
      </x:c>
      <x:c r="F251" s="22" t="str"/>
      <x:c r="G251" s="22" t="str"/>
      <x:c r="H251" s="22" t="str">
        <x:v>CX/24 | UND</x:v>
      </x:c>
      <x:c r="I251" s="22" t="str">
        <x:v>UNIDADE</x:v>
      </x:c>
      <x:c r="J251" s="22" t="str">
        <x:v>SUTUMED</x:v>
      </x:c>
      <x:c r="K251" s="28" t="str">
        <x:f>"GTIN: 7898609044203"</x:f>
        <x:v>GTIN: 7898609044203</x:v>
      </x:c>
      <x:c r="L251" s="28" t="str">
        <x:f>"81029600"</x:f>
        <x:v>81029600</x:v>
      </x:c>
      <x:c r="M251" s="22" t="str">
        <x:v>UND</x:v>
      </x:c>
      <x:c r="N251" s="22" t="str">
        <x:v>UND</x:v>
      </x:c>
      <x:c r="O251" s="22" t="n">
        <x:v>1</x:v>
      </x:c>
      <x:c r="P251" s="28" t="str">
        <x:f>"458"</x:f>
        <x:v>458</x:v>
      </x:c>
      <x:c r="Q251" s="28" t="str">
        <x:f>"F070001"</x:f>
        <x:v>F070001</x:v>
      </x:c>
    </x:row>
    <x:row r="252">
      <x:c r="A252" s="22" t="n">
        <x:v>248</x:v>
      </x:c>
      <x:c r="B252" s="28" t="str">
        <x:f>"F370001"</x:f>
        <x:v>F370001</x:v>
      </x:c>
      <x:c r="C252" s="22" t="str">
        <x:v>FIO DE POLIPROPILENO 3.0 C/2AG CILÍNDRICAS 1/2 25MM 75CM MONOFILAMENTO AZUL - CX/24 - SUTUMED</x:v>
      </x:c>
      <x:c r="D252" s="22" t="str">
        <x:v>FIO POLIPROPILENO 2AG CILINDRICAS MONOFILAMENTO AZUL</x:v>
      </x:c>
      <x:c r="E252" s="22" t="str">
        <x:v>FIO POLIPROPILENO 2AG</x:v>
      </x:c>
      <x:c r="F252" s="22" t="str"/>
      <x:c r="G252" s="22" t="str"/>
      <x:c r="H252" s="22" t="str">
        <x:v>CX/24 | UND</x:v>
      </x:c>
      <x:c r="I252" s="22" t="str">
        <x:v>UNIDADE</x:v>
      </x:c>
      <x:c r="J252" s="22" t="str">
        <x:v>SUTUMED</x:v>
      </x:c>
      <x:c r="K252" s="28" t="str">
        <x:f>"GTIN: 7898609045309"</x:f>
        <x:v>GTIN: 7898609045309</x:v>
      </x:c>
      <x:c r="L252" s="28" t="str">
        <x:f>"81029600"</x:f>
        <x:v>81029600</x:v>
      </x:c>
      <x:c r="M252" s="22" t="str">
        <x:v>UND</x:v>
      </x:c>
      <x:c r="N252" s="22" t="str">
        <x:v>UND</x:v>
      </x:c>
      <x:c r="O252" s="22" t="n">
        <x:v>1</x:v>
      </x:c>
      <x:c r="P252" s="28" t="str">
        <x:f>"459"</x:f>
        <x:v>459</x:v>
      </x:c>
      <x:c r="Q252" s="28" t="str">
        <x:f>"F370001"</x:f>
        <x:v>F370001</x:v>
      </x:c>
    </x:row>
    <x:row r="253">
      <x:c r="A253" s="22" t="n">
        <x:v>249</x:v>
      </x:c>
      <x:c r="B253" s="28" t="str">
        <x:f>"FP40001"</x:f>
        <x:v>FP40001</x:v>
      </x:c>
      <x:c r="C253" s="22" t="str">
        <x:v>FIO DE POLIPROPILENO 4.0 C/AG 1/2 25MM 75CM - C/24 - UND (PP47MR25) TECHNOFIO</x:v>
      </x:c>
      <x:c r="D253" s="22" t="str">
        <x:v>FIO POLIPROPILENO AG</x:v>
      </x:c>
      <x:c r="E253" s="22" t="str">
        <x:v>FIO POLIPROPILENO AG</x:v>
      </x:c>
      <x:c r="F253" s="22" t="str"/>
      <x:c r="G253" s="22" t="str"/>
      <x:c r="H253" s="22" t="str">
        <x:v>UND</x:v>
      </x:c>
      <x:c r="I253" s="22" t="str">
        <x:v>OUTRA</x:v>
      </x:c>
      <x:c r="J253" s="22" t="str">
        <x:v>TECHNOFIO</x:v>
      </x:c>
      <x:c r="K253" s="28" t="str">
        <x:f>"GTIN: 7898483781393"</x:f>
        <x:v>GTIN: 7898483781393</x:v>
      </x:c>
      <x:c r="L253" s="28" t="str">
        <x:f>"54023400"</x:f>
        <x:v>54023400</x:v>
      </x:c>
      <x:c r="M253" s="22" t="str">
        <x:v>UN</x:v>
      </x:c>
      <x:c r="N253" s="22" t="str"/>
      <x:c r="O253" s="22" t="n">
        <x:v>1</x:v>
      </x:c>
      <x:c r="P253" s="28" t="str">
        <x:f>"460"</x:f>
        <x:v>460</x:v>
      </x:c>
      <x:c r="Q253" s="28" t="str">
        <x:f>"FP40001"</x:f>
        <x:v>FP40001</x:v>
      </x:c>
    </x:row>
    <x:row r="254">
      <x:c r="A254" s="22" t="n">
        <x:v>250</x:v>
      </x:c>
      <x:c r="B254" s="28" t="str">
        <x:f>"FSN0007"</x:f>
        <x:v>FSN0007</x:v>
      </x:c>
      <x:c r="C254" s="22" t="str">
        <x:v>FIO DE SUTURA DE NYLON 3.0 C/AG 30MM 3/8 - CX/24 - TECHNOFIO</x:v>
      </x:c>
      <x:c r="D254" s="22" t="str">
        <x:v>FIO SUTURA NYLON AG</x:v>
      </x:c>
      <x:c r="E254" s="22" t="str">
        <x:v>FIO SUTURA NYLON</x:v>
      </x:c>
      <x:c r="F254" s="22" t="str"/>
      <x:c r="G254" s="22" t="str"/>
      <x:c r="H254" s="22" t="str">
        <x:v>CX/24 | UND</x:v>
      </x:c>
      <x:c r="I254" s="22" t="str">
        <x:v>UNIDADE</x:v>
      </x:c>
      <x:c r="J254" s="22" t="str">
        <x:v>TECHNOFIO</x:v>
      </x:c>
      <x:c r="K254" s="28" t="str">
        <x:f>"GTIN: 7898483782260"</x:f>
        <x:v>GTIN: 7898483782260</x:v>
      </x:c>
      <x:c r="L254" s="28" t="str">
        <x:f>"30061090"</x:f>
        <x:v>30061090</x:v>
      </x:c>
      <x:c r="M254" s="22" t="str">
        <x:v>UND</x:v>
      </x:c>
      <x:c r="N254" s="22" t="str">
        <x:v>UND</x:v>
      </x:c>
      <x:c r="O254" s="22" t="n">
        <x:v>1</x:v>
      </x:c>
      <x:c r="P254" s="28" t="str">
        <x:f>"461"</x:f>
        <x:v>461</x:v>
      </x:c>
      <x:c r="Q254" s="28" t="str">
        <x:f>"FSN0007"</x:f>
        <x:v>FSN0007</x:v>
      </x:c>
    </x:row>
    <x:row r="255">
      <x:c r="A255" s="22" t="n">
        <x:v>251</x:v>
      </x:c>
      <x:c r="B255" s="28" t="str">
        <x:f>"FSN0009"</x:f>
        <x:v>FSN0009</x:v>
      </x:c>
      <x:c r="C255" s="22" t="str">
        <x:v>FIO DE SUTURA DE NYLON 5.0 C/AG 20MM 3/8 45CM - CX/24 - TECHNOFIO</x:v>
      </x:c>
      <x:c r="D255" s="22" t="str">
        <x:v>FIO SUTURA NYLON AG</x:v>
      </x:c>
      <x:c r="E255" s="22" t="str">
        <x:v>FIO SUTURA NYLON</x:v>
      </x:c>
      <x:c r="F255" s="22" t="str"/>
      <x:c r="G255" s="22" t="str"/>
      <x:c r="H255" s="22" t="str">
        <x:v>CX/24 | CX | CONTEUDO24 | FATOR24</x:v>
      </x:c>
      <x:c r="I255" s="22" t="str">
        <x:v>CAIXA</x:v>
      </x:c>
      <x:c r="J255" s="22" t="str">
        <x:v>TECHNOFIO</x:v>
      </x:c>
      <x:c r="K255" s="28" t="str">
        <x:f>"GTIN: 7898157728525"</x:f>
        <x:v>GTIN: 7898157728525</x:v>
      </x:c>
      <x:c r="L255" s="28" t="str">
        <x:f>"30061090"</x:f>
        <x:v>30061090</x:v>
      </x:c>
      <x:c r="M255" s="22" t="str">
        <x:v>UN</x:v>
      </x:c>
      <x:c r="N255" s="22" t="str">
        <x:v>CX</x:v>
      </x:c>
      <x:c r="O255" s="22" t="n">
        <x:v>24</x:v>
      </x:c>
      <x:c r="P255" s="28" t="str">
        <x:f>"462"</x:f>
        <x:v>462</x:v>
      </x:c>
      <x:c r="Q255" s="28" t="str">
        <x:f>"FSN0009"</x:f>
        <x:v>FSN0009</x:v>
      </x:c>
    </x:row>
    <x:row r="256">
      <x:c r="A256" s="22" t="n">
        <x:v>252</x:v>
      </x:c>
      <x:c r="B256" s="28" t="str">
        <x:f>"FEV0001"</x:f>
        <x:v>FEV0001</x:v>
      </x:c>
      <x:c r="C256" s="22" t="str">
        <x:v>FITOMENADIONA ESKAVIT VITAMINA K 10MG/ML 01ML FR CX/50 - HIPOLABOR</x:v>
      </x:c>
      <x:c r="D256" s="22" t="str">
        <x:v>FITOMENADIONA ESKAVIT VITAMINA K</x:v>
      </x:c>
      <x:c r="E256" s="22" t="str">
        <x:v>FITOMENADIONA ESKAVIT VITAMINA</x:v>
      </x:c>
      <x:c r="F256" s="22" t="str">
        <x:v>10MG/ML | 10MG | 01ML</x:v>
      </x:c>
      <x:c r="G256" s="22" t="str"/>
      <x:c r="H256" s="22" t="str">
        <x:v>FR | CX/50 | CX | CONTEUDO50 | FATOR50</x:v>
      </x:c>
      <x:c r="I256" s="22" t="str">
        <x:v>CAIXA</x:v>
      </x:c>
      <x:c r="J256" s="22" t="str">
        <x:v>HIPOLABOR</x:v>
      </x:c>
      <x:c r="K256" s="28" t="str">
        <x:f>"GTIN: 7898470683815"</x:f>
        <x:v>GTIN: 7898470683815</x:v>
      </x:c>
      <x:c r="L256" s="28" t="str">
        <x:f>"30049099"</x:f>
        <x:v>30049099</x:v>
      </x:c>
      <x:c r="M256" s="22" t="str">
        <x:v>UN</x:v>
      </x:c>
      <x:c r="N256" s="22" t="str">
        <x:v>CX</x:v>
      </x:c>
      <x:c r="O256" s="22" t="n">
        <x:v>50</x:v>
      </x:c>
      <x:c r="P256" s="28" t="str">
        <x:f>"463"</x:f>
        <x:v>463</x:v>
      </x:c>
      <x:c r="Q256" s="28" t="str">
        <x:f>"FEV0001"</x:f>
        <x:v>FEV0001</x:v>
      </x:c>
    </x:row>
    <x:row r="257">
      <x:c r="A257" s="22" t="n">
        <x:v>253</x:v>
      </x:c>
      <x:c r="B257" s="28" t="str">
        <x:f>"FC10001"</x:f>
        <x:v>FC10001</x:v>
      </x:c>
      <x:c r="C257" s="22" t="str">
        <x:v>FIXADOR CELULAR 100ML FR - CRAL</x:v>
      </x:c>
      <x:c r="D257" s="22" t="str">
        <x:v>FIXADOR CELULAR</x:v>
      </x:c>
      <x:c r="E257" s="22" t="str">
        <x:v>FIXADOR CELULAR</x:v>
      </x:c>
      <x:c r="F257" s="22" t="str">
        <x:v>100ML</x:v>
      </x:c>
      <x:c r="G257" s="22" t="str"/>
      <x:c r="H257" s="22" t="str">
        <x:v>FR</x:v>
      </x:c>
      <x:c r="I257" s="22" t="str">
        <x:v>FRASCO</x:v>
      </x:c>
      <x:c r="J257" s="22" t="str">
        <x:v>CRAL</x:v>
      </x:c>
      <x:c r="K257" s="28" t="str"/>
      <x:c r="L257" s="28" t="str">
        <x:f>"38229000"</x:f>
        <x:v>38229000</x:v>
      </x:c>
      <x:c r="M257" s="22" t="str">
        <x:v>FR</x:v>
      </x:c>
      <x:c r="N257" s="22" t="str">
        <x:v>FR</x:v>
      </x:c>
      <x:c r="O257" s="22" t="n">
        <x:v>1</x:v>
      </x:c>
      <x:c r="P257" s="28" t="str">
        <x:f>"464"</x:f>
        <x:v>464</x:v>
      </x:c>
      <x:c r="Q257" s="28" t="str">
        <x:f>"FC10001"</x:f>
        <x:v>FC10001</x:v>
      </x:c>
    </x:row>
    <x:row r="258">
      <x:c r="A258" s="22" t="n">
        <x:v>254</x:v>
      </x:c>
      <x:c r="B258" s="28" t="str">
        <x:f>"CT80001"</x:f>
        <x:v>CT80001</x:v>
      </x:c>
      <x:c r="C258" s="22" t="str">
        <x:v>FIXADOR DE ACESSO VENOSO 8.5CM X 11.5CM 3.4 X 4.6</x:v>
      </x:c>
      <x:c r="D258" s="22" t="str">
        <x:v>FIXADOR ACESSO VENOSO X</x:v>
      </x:c>
      <x:c r="E258" s="22" t="str">
        <x:v>FIXADOR ACESSO VENOSO</x:v>
      </x:c>
      <x:c r="F258" s="22" t="str"/>
      <x:c r="G258" s="22" t="str">
        <x:v>3.4X4.6</x:v>
      </x:c>
      <x:c r="H258" s="22" t="str">
        <x:v>ENV | CONTEUDO1</x:v>
      </x:c>
      <x:c r="I258" s="22" t="str">
        <x:v>OUTRA</x:v>
      </x:c>
      <x:c r="J258" s="22" t="str">
        <x:v>PHARMAPORE</x:v>
      </x:c>
      <x:c r="K258" s="28" t="str">
        <x:f>"GTIN: 6223004866142"</x:f>
        <x:v>GTIN: 6223004866142</x:v>
      </x:c>
      <x:c r="L258" s="28" t="str">
        <x:f>"30051030"</x:f>
        <x:v>30051030</x:v>
      </x:c>
      <x:c r="M258" s="22" t="str">
        <x:v>UN</x:v>
      </x:c>
      <x:c r="N258" s="22" t="str">
        <x:v>ENV</x:v>
      </x:c>
      <x:c r="O258" s="22" t="n">
        <x:v>1</x:v>
      </x:c>
      <x:c r="P258" s="28" t="str">
        <x:f>"465"</x:f>
        <x:v>465</x:v>
      </x:c>
      <x:c r="Q258" s="28" t="str">
        <x:f>"CT80001"</x:f>
        <x:v>CT80001</x:v>
      </x:c>
    </x:row>
    <x:row r="259">
      <x:c r="A259" s="22" t="n">
        <x:v>255</x:v>
      </x:c>
      <x:c r="B259" s="28" t="str">
        <x:f>"F050001"</x:f>
        <x:v>F050001</x:v>
      </x:c>
      <x:c r="C259" s="22" t="str">
        <x:v>FLUMAZENIL 0,5MG/ML 5ML AP CX/20 - TEUTO</x:v>
      </x:c>
      <x:c r="D259" s="22" t="str">
        <x:v>FLUMAZENIL</x:v>
      </x:c>
      <x:c r="E259" s="22" t="str">
        <x:v>FLUMAZENIL</x:v>
      </x:c>
      <x:c r="F259" s="22" t="str">
        <x:v>0,5MG/ML | 0,5MG | 5ML</x:v>
      </x:c>
      <x:c r="G259" s="22" t="str"/>
      <x:c r="H259" s="22" t="str">
        <x:v>AP | CX/20 | UN</x:v>
      </x:c>
      <x:c r="I259" s="22" t="str">
        <x:v>UNIDADE</x:v>
      </x:c>
      <x:c r="J259" s="22" t="str">
        <x:v>TEUTO</x:v>
      </x:c>
      <x:c r="K259" s="28" t="str">
        <x:f>"GTIN: 7896006242147"</x:f>
        <x:v>GTIN: 7896006242147</x:v>
      </x:c>
      <x:c r="L259" s="28" t="str">
        <x:f>"30049099"</x:f>
        <x:v>30049099</x:v>
      </x:c>
      <x:c r="M259" s="22" t="str">
        <x:v>UN</x:v>
      </x:c>
      <x:c r="N259" s="22" t="str">
        <x:v>UN</x:v>
      </x:c>
      <x:c r="O259" s="22" t="n">
        <x:v>1</x:v>
      </x:c>
      <x:c r="P259" s="28" t="str">
        <x:f>"466 | 467 | 468"</x:f>
        <x:v>466 | 467 | 468</x:v>
      </x:c>
      <x:c r="Q259" s="28" t="str">
        <x:f>"F050001 | F050002 | F050003"</x:f>
        <x:v>F050001 | F050002 | F050003</x:v>
      </x:c>
    </x:row>
    <x:row r="260">
      <x:c r="A260" s="22" t="n">
        <x:v>256</x:v>
      </x:c>
      <x:c r="B260" s="28" t="str">
        <x:f>"F0L0002"</x:f>
        <x:v>F0L0002</x:v>
      </x:c>
      <x:c r="C260" s="22" t="str">
        <x:v>FLUXÔMETRO 0-15 LPM FÊMEA O2 - PROTEC</x:v>
      </x:c>
      <x:c r="D260" s="22" t="str">
        <x:v>FLUXOMETRO LPM FEMEA O2</x:v>
      </x:c>
      <x:c r="E260" s="22" t="str">
        <x:v>FLUXOMETRO LPM FEMEA</x:v>
      </x:c>
      <x:c r="F260" s="22" t="str"/>
      <x:c r="G260" s="22" t="str"/>
      <x:c r="H260" s="22" t="str"/>
      <x:c r="I260" s="22" t="str">
        <x:v>OUTRA</x:v>
      </x:c>
      <x:c r="J260" s="22" t="str">
        <x:v>PROTEC</x:v>
      </x:c>
      <x:c r="K260" s="28" t="str">
        <x:f>"GTIN: 7898435784076"</x:f>
        <x:v>GTIN: 7898435784076</x:v>
      </x:c>
      <x:c r="L260" s="28" t="str">
        <x:f>"90192010"</x:f>
        <x:v>90192010</x:v>
      </x:c>
      <x:c r="M260" s="22" t="str">
        <x:v>UN</x:v>
      </x:c>
      <x:c r="N260" s="22" t="str"/>
      <x:c r="O260" s="22" t="n">
        <x:v>1</x:v>
      </x:c>
      <x:c r="P260" s="28" t="str">
        <x:f>"469 | 470"</x:f>
        <x:v>469 | 470</x:v>
      </x:c>
      <x:c r="Q260" s="28" t="str">
        <x:f>"F0L0002 | F0L0001"</x:f>
        <x:v>F0L0002 | F0L0001</x:v>
      </x:c>
    </x:row>
    <x:row r="261">
      <x:c r="A261" s="22" t="n">
        <x:v>257</x:v>
      </x:c>
      <x:c r="B261" s="28" t="str">
        <x:f>"FPA0002"</x:f>
        <x:v>FPA0002</x:v>
      </x:c>
      <x:c r="C261" s="22" t="str">
        <x:v>FOLHA DE PAPEL A4 - CX/500 - GOOFFICE</x:v>
      </x:c>
      <x:c r="D261" s="22" t="str">
        <x:v>FOLHA PAPEL A4 GOOFFICE</x:v>
      </x:c>
      <x:c r="E261" s="22" t="str">
        <x:v>FOLHA PAPEL A4</x:v>
      </x:c>
      <x:c r="F261" s="22" t="str"/>
      <x:c r="G261" s="22" t="str"/>
      <x:c r="H261" s="22" t="str">
        <x:v>CX/500 | UND</x:v>
      </x:c>
      <x:c r="I261" s="22" t="str">
        <x:v>UNIDADE</x:v>
      </x:c>
      <x:c r="J261" s="22" t="str">
        <x:v>REPORT</x:v>
      </x:c>
      <x:c r="K261" s="28" t="str">
        <x:f>"GTIN: 7891173023063"</x:f>
        <x:v>GTIN: 7891173023063</x:v>
      </x:c>
      <x:c r="L261" s="28" t="str">
        <x:f>"48025610"</x:f>
        <x:v>48025610</x:v>
      </x:c>
      <x:c r="M261" s="22" t="str">
        <x:v>UND</x:v>
      </x:c>
      <x:c r="N261" s="22" t="str">
        <x:v>UND</x:v>
      </x:c>
      <x:c r="O261" s="22" t="n">
        <x:v>1</x:v>
      </x:c>
      <x:c r="P261" s="28" t="str">
        <x:f>"471"</x:f>
        <x:v>471</x:v>
      </x:c>
      <x:c r="Q261" s="28" t="str">
        <x:f>"FPA0002"</x:f>
        <x:v>FPA0002</x:v>
      </x:c>
    </x:row>
    <x:row r="262">
      <x:c r="A262" s="22" t="n">
        <x:v>258</x:v>
      </x:c>
      <x:c r="B262" s="28" t="str">
        <x:f>"FPA0001"</x:f>
        <x:v>FPA0001</x:v>
      </x:c>
      <x:c r="C262" s="22" t="str">
        <x:v>FOLHA DE PAPEL A4 - CX/500 - REPORT</x:v>
      </x:c>
      <x:c r="D262" s="22" t="str">
        <x:v>FOLHA PAPEL A4</x:v>
      </x:c>
      <x:c r="E262" s="22" t="str">
        <x:v>FOLHA PAPEL A4</x:v>
      </x:c>
      <x:c r="F262" s="22" t="str"/>
      <x:c r="G262" s="22" t="str"/>
      <x:c r="H262" s="22" t="str">
        <x:v>CX/500 | UND</x:v>
      </x:c>
      <x:c r="I262" s="22" t="str">
        <x:v>UNIDADE</x:v>
      </x:c>
      <x:c r="J262" s="22" t="str">
        <x:v>REPORT</x:v>
      </x:c>
      <x:c r="K262" s="28" t="str">
        <x:f>"GTIN: 4014458001041"</x:f>
        <x:v>GTIN: 4014458001041</x:v>
      </x:c>
      <x:c r="L262" s="28" t="str">
        <x:f>"48025610"</x:f>
        <x:v>48025610</x:v>
      </x:c>
      <x:c r="M262" s="22" t="str">
        <x:v>UND</x:v>
      </x:c>
      <x:c r="N262" s="22" t="str">
        <x:v>UND</x:v>
      </x:c>
      <x:c r="O262" s="22" t="n">
        <x:v>1</x:v>
      </x:c>
      <x:c r="P262" s="28" t="str">
        <x:f>"472"</x:f>
        <x:v>472</x:v>
      </x:c>
      <x:c r="Q262" s="28" t="str">
        <x:f>"FPA0001"</x:f>
        <x:v>FPA0001</x:v>
      </x:c>
    </x:row>
    <x:row r="263">
      <x:c r="A263" s="22" t="n">
        <x:v>259</x:v>
      </x:c>
      <x:c r="B263" s="28" t="str">
        <x:f>"FGD0005"</x:f>
        <x:v>FGD0005</x:v>
      </x:c>
      <x:c r="C263" s="22" t="str">
        <x:v>FRALDA GERIATRICA DESC - EG - PCT/08 - ALFASOFT</x:v>
      </x:c>
      <x:c r="D263" s="22" t="str">
        <x:v>FRALDA GERIATRICA DESC EG ALFASOFT</x:v>
      </x:c>
      <x:c r="E263" s="22" t="str">
        <x:v>FRALDA GERIATRICA DESC</x:v>
      </x:c>
      <x:c r="F263" s="22" t="str"/>
      <x:c r="G263" s="22" t="str"/>
      <x:c r="H263" s="22" t="str">
        <x:v>PCT/08 | PCT | CONTEUDO8 | FATOR8</x:v>
      </x:c>
      <x:c r="I263" s="22" t="str">
        <x:v>OUTRA</x:v>
      </x:c>
      <x:c r="J263" s="22" t="str">
        <x:v>ALFAMA</x:v>
      </x:c>
      <x:c r="K263" s="28" t="str">
        <x:f>"GTIN: 7898670160932"</x:f>
        <x:v>GTIN: 7898670160932</x:v>
      </x:c>
      <x:c r="L263" s="28" t="str">
        <x:f>"96190000"</x:f>
        <x:v>96190000</x:v>
      </x:c>
      <x:c r="M263" s="22" t="str">
        <x:v>UN</x:v>
      </x:c>
      <x:c r="N263" s="22" t="str">
        <x:v>PCT</x:v>
      </x:c>
      <x:c r="O263" s="22" t="n">
        <x:v>8</x:v>
      </x:c>
      <x:c r="P263" s="28" t="str">
        <x:f>"473"</x:f>
        <x:v>473</x:v>
      </x:c>
      <x:c r="Q263" s="28" t="str">
        <x:f>"FGD0005"</x:f>
        <x:v>FGD0005</x:v>
      </x:c>
    </x:row>
    <x:row r="264">
      <x:c r="A264" s="22" t="n">
        <x:v>260</x:v>
      </x:c>
      <x:c r="B264" s="28" t="str">
        <x:f>"FGD0001"</x:f>
        <x:v>FGD0001</x:v>
      </x:c>
      <x:c r="C264" s="22" t="str">
        <x:v>FRALDA GERIATRICA DESC - EG - PCT/08 - GERIA SUPER</x:v>
      </x:c>
      <x:c r="D264" s="22" t="str">
        <x:v>FRALDA GERIATRICA DESC EG</x:v>
      </x:c>
      <x:c r="E264" s="22" t="str">
        <x:v>FRALDA GERIATRICA DESC</x:v>
      </x:c>
      <x:c r="F264" s="22" t="str"/>
      <x:c r="G264" s="22" t="str"/>
      <x:c r="H264" s="22" t="str">
        <x:v>PCT/08 | PCT | CONTEUDO8 | FATOR8</x:v>
      </x:c>
      <x:c r="I264" s="22" t="str">
        <x:v>OUTRA</x:v>
      </x:c>
      <x:c r="J264" s="22" t="str">
        <x:v>GERIA SUPER</x:v>
      </x:c>
      <x:c r="K264" s="28" t="str"/>
      <x:c r="L264" s="28" t="str">
        <x:f>"96190000"</x:f>
        <x:v>96190000</x:v>
      </x:c>
      <x:c r="M264" s="22" t="str">
        <x:v>UN</x:v>
      </x:c>
      <x:c r="N264" s="22" t="str">
        <x:v>PCT</x:v>
      </x:c>
      <x:c r="O264" s="22" t="n">
        <x:v>8</x:v>
      </x:c>
      <x:c r="P264" s="28" t="str">
        <x:f>"474"</x:f>
        <x:v>474</x:v>
      </x:c>
      <x:c r="Q264" s="28" t="str">
        <x:f>"FGD0001"</x:f>
        <x:v>FGD0001</x:v>
      </x:c>
    </x:row>
    <x:row r="265">
      <x:c r="A265" s="22" t="n">
        <x:v>261</x:v>
      </x:c>
      <x:c r="B265" s="28" t="str">
        <x:f>"FGD0003"</x:f>
        <x:v>FGD0003</x:v>
      </x:c>
      <x:c r="C265" s="22" t="str">
        <x:v>FRALDA GERIATRICA DESC - XG - PCT/07 - MAIS CONFORTO BIG</x:v>
      </x:c>
      <x:c r="D265" s="22" t="str">
        <x:v>FRALDA GERIATRICA DESC XG BIG</x:v>
      </x:c>
      <x:c r="E265" s="22" t="str">
        <x:v>FRALDA GERIATRICA DESC</x:v>
      </x:c>
      <x:c r="F265" s="22" t="str"/>
      <x:c r="G265" s="22" t="str"/>
      <x:c r="H265" s="22" t="str">
        <x:v>PCT/07 | PCT | CONTEUDO7 | FATOR7</x:v>
      </x:c>
      <x:c r="I265" s="22" t="str">
        <x:v>OUTRA</x:v>
      </x:c>
      <x:c r="J265" s="22" t="str">
        <x:v>MAIS CONFORTO</x:v>
      </x:c>
      <x:c r="K265" s="28" t="str"/>
      <x:c r="L265" s="28" t="str">
        <x:f>"96190000"</x:f>
        <x:v>96190000</x:v>
      </x:c>
      <x:c r="M265" s="22" t="str">
        <x:v>UN</x:v>
      </x:c>
      <x:c r="N265" s="22" t="str">
        <x:v>PCT</x:v>
      </x:c>
      <x:c r="O265" s="22" t="n">
        <x:v>7</x:v>
      </x:c>
      <x:c r="P265" s="28" t="str">
        <x:f>"475"</x:f>
        <x:v>475</x:v>
      </x:c>
      <x:c r="Q265" s="28" t="str">
        <x:f>"FGD0003"</x:f>
        <x:v>FGD0003</x:v>
      </x:c>
    </x:row>
    <x:row r="266">
      <x:c r="A266" s="22" t="n">
        <x:v>262</x:v>
      </x:c>
      <x:c r="B266" s="28" t="str">
        <x:f>"F100001"</x:f>
        <x:v>F100001</x:v>
      </x:c>
      <x:c r="C266" s="22" t="str">
        <x:v>FUROSEMIDA 10MG/ML 02ML FR CX/100 - HYPOFARMA</x:v>
      </x:c>
      <x:c r="D266" s="22" t="str">
        <x:v>FUROSEMIDA</x:v>
      </x:c>
      <x:c r="E266" s="22" t="str">
        <x:v>FUROSEMIDA</x:v>
      </x:c>
      <x:c r="F266" s="22" t="str">
        <x:v>10MG/ML | 10MG | 02ML</x:v>
      </x:c>
      <x:c r="G266" s="22" t="str"/>
      <x:c r="H266" s="22" t="str">
        <x:v>FR | CX/100 | CX | CONTEUDO100 | FATOR100</x:v>
      </x:c>
      <x:c r="I266" s="22" t="str">
        <x:v>CAIXA</x:v>
      </x:c>
      <x:c r="J266" s="22" t="str">
        <x:v>HYPOFARMA</x:v>
      </x:c>
      <x:c r="K266" s="28" t="str">
        <x:f>"GTIN: 7898123905813"</x:f>
        <x:v>GTIN: 7898123905813</x:v>
      </x:c>
      <x:c r="L266" s="28" t="str">
        <x:f>"29359021"</x:f>
        <x:v>29359021</x:v>
      </x:c>
      <x:c r="M266" s="22" t="str">
        <x:v>UN</x:v>
      </x:c>
      <x:c r="N266" s="22" t="str">
        <x:v>CX</x:v>
      </x:c>
      <x:c r="O266" s="22" t="n">
        <x:v>100</x:v>
      </x:c>
      <x:c r="P266" s="28" t="str">
        <x:f>"476"</x:f>
        <x:v>476</x:v>
      </x:c>
      <x:c r="Q266" s="28" t="str">
        <x:f>"F100001"</x:f>
        <x:v>F100001</x:v>
      </x:c>
    </x:row>
    <x:row r="267">
      <x:c r="A267" s="22" t="n">
        <x:v>263</x:v>
      </x:c>
      <x:c r="B267" s="28" t="str">
        <x:f>"G510001"</x:f>
        <x:v>G510001</x:v>
      </x:c>
      <x:c r="C267" s="22" t="str">
        <x:v>GLICOSE 25% 10ML AP HIPERTONICA - CX/200 - HALEXISTAR</x:v>
      </x:c>
      <x:c r="D267" s="22" t="str">
        <x:v>GLICOSE % HIPERTONICA</x:v>
      </x:c>
      <x:c r="E267" s="22" t="str">
        <x:v>GLICOSE HIPERTONICA</x:v>
      </x:c>
      <x:c r="F267" s="22" t="str">
        <x:v>10ML</x:v>
      </x:c>
      <x:c r="G267" s="22" t="str"/>
      <x:c r="H267" s="22" t="str">
        <x:v>AP | CX/200 | CX | CONTEUDO200 | FATOR200</x:v>
      </x:c>
      <x:c r="I267" s="22" t="str">
        <x:v>CAIXA</x:v>
      </x:c>
      <x:c r="J267" s="22" t="str">
        <x:v>HALEXISTAR</x:v>
      </x:c>
      <x:c r="K267" s="28" t="str"/>
      <x:c r="L267" s="28" t="str">
        <x:f>"28470000"</x:f>
        <x:v>28470000</x:v>
      </x:c>
      <x:c r="M267" s="22" t="str">
        <x:v>UN</x:v>
      </x:c>
      <x:c r="N267" s="22" t="str">
        <x:v>CX</x:v>
      </x:c>
      <x:c r="O267" s="22" t="n">
        <x:v>200</x:v>
      </x:c>
      <x:c r="P267" s="28" t="str">
        <x:f>"477"</x:f>
        <x:v>477</x:v>
      </x:c>
      <x:c r="Q267" s="28" t="str">
        <x:f>"G510001"</x:f>
        <x:v>G510001</x:v>
      </x:c>
    </x:row>
    <x:row r="268">
      <x:c r="A268" s="22" t="n">
        <x:v>264</x:v>
      </x:c>
      <x:c r="B268" s="28" t="str">
        <x:f>"CS00114"</x:f>
        <x:v>CS00114</x:v>
      </x:c>
      <x:c r="C268" s="22" t="str">
        <x:v>GLICOSE 5% 100ML - CX/50 - BAXTER</x:v>
      </x:c>
      <x:c r="D268" s="22" t="str">
        <x:v>GLICOSE %</x:v>
      </x:c>
      <x:c r="E268" s="22" t="str">
        <x:v>GLICOSE</x:v>
      </x:c>
      <x:c r="F268" s="22" t="str">
        <x:v>100ML</x:v>
      </x:c>
      <x:c r="G268" s="22" t="str"/>
      <x:c r="H268" s="22" t="str">
        <x:v>CX/50 | CX | CONTEUDO50 | FATOR50</x:v>
      </x:c>
      <x:c r="I268" s="22" t="str">
        <x:v>CAIXA</x:v>
      </x:c>
      <x:c r="J268" s="22" t="str">
        <x:v>BAXTER</x:v>
      </x:c>
      <x:c r="K268" s="28" t="str">
        <x:f>"GTIN: 7898170784539"</x:f>
        <x:v>GTIN: 7898170784539</x:v>
      </x:c>
      <x:c r="L268" s="28" t="str">
        <x:f>"28470000"</x:f>
        <x:v>28470000</x:v>
      </x:c>
      <x:c r="M268" s="22" t="str">
        <x:v>UN</x:v>
      </x:c>
      <x:c r="N268" s="22" t="str">
        <x:v>CX</x:v>
      </x:c>
      <x:c r="O268" s="22" t="n">
        <x:v>50</x:v>
      </x:c>
      <x:c r="P268" s="28" t="str">
        <x:f>"478"</x:f>
        <x:v>478</x:v>
      </x:c>
      <x:c r="Q268" s="28" t="str">
        <x:f>"CS00114"</x:f>
        <x:v>CS00114</x:v>
      </x:c>
    </x:row>
    <x:row r="269">
      <x:c r="A269" s="22" t="n">
        <x:v>265</x:v>
      </x:c>
      <x:c r="B269" s="28" t="str">
        <x:f>"CS00012"</x:f>
        <x:v>CS00012</x:v>
      </x:c>
      <x:c r="C269" s="22" t="str">
        <x:v>GLICOSE 5% 250ML CX/48 - FRESENIUS</x:v>
      </x:c>
      <x:c r="D269" s="22" t="str">
        <x:v>GLICOSE %</x:v>
      </x:c>
      <x:c r="E269" s="22" t="str">
        <x:v>GLICOSE</x:v>
      </x:c>
      <x:c r="F269" s="22" t="str">
        <x:v>250ML</x:v>
      </x:c>
      <x:c r="G269" s="22" t="str"/>
      <x:c r="H269" s="22" t="str">
        <x:v>CX/48 | CX | CONTEUDO48 | FATOR48</x:v>
      </x:c>
      <x:c r="I269" s="22" t="str">
        <x:v>CAIXA</x:v>
      </x:c>
      <x:c r="J269" s="22" t="str">
        <x:v>FRESENIUS</x:v>
      </x:c>
      <x:c r="K269" s="28" t="str"/>
      <x:c r="L269" s="28" t="str">
        <x:f>"28470000"</x:f>
        <x:v>28470000</x:v>
      </x:c>
      <x:c r="M269" s="22" t="str">
        <x:v>UN</x:v>
      </x:c>
      <x:c r="N269" s="22" t="str">
        <x:v>CX</x:v>
      </x:c>
      <x:c r="O269" s="22" t="n">
        <x:v>48</x:v>
      </x:c>
      <x:c r="P269" s="28" t="str">
        <x:f>"479"</x:f>
        <x:v>479</x:v>
      </x:c>
      <x:c r="Q269" s="28" t="str">
        <x:f>"CS00012"</x:f>
        <x:v>CS00012</x:v>
      </x:c>
    </x:row>
    <x:row r="270">
      <x:c r="A270" s="22" t="n">
        <x:v>266</x:v>
      </x:c>
      <x:c r="B270" s="28" t="str">
        <x:f>"G550001"</x:f>
        <x:v>G550001</x:v>
      </x:c>
      <x:c r="C270" s="22" t="str">
        <x:v>GLICOSE 5% 500ML CX/30 FRESENIUS</x:v>
      </x:c>
      <x:c r="D270" s="22" t="str">
        <x:v>GLICOSE %</x:v>
      </x:c>
      <x:c r="E270" s="22" t="str">
        <x:v>GLICOSE</x:v>
      </x:c>
      <x:c r="F270" s="22" t="str">
        <x:v>500ML</x:v>
      </x:c>
      <x:c r="G270" s="22" t="str"/>
      <x:c r="H270" s="22" t="str">
        <x:v>CX/30 | CX | CONTEUDO30 | FATOR30</x:v>
      </x:c>
      <x:c r="I270" s="22" t="str">
        <x:v>CAIXA</x:v>
      </x:c>
      <x:c r="J270" s="22" t="str">
        <x:v>FRESENIUS</x:v>
      </x:c>
      <x:c r="K270" s="28" t="str">
        <x:f>"GTIN: 7897947706545"</x:f>
        <x:v>GTIN: 7897947706545</x:v>
      </x:c>
      <x:c r="L270" s="28" t="str">
        <x:f>"30049099"</x:f>
        <x:v>30049099</x:v>
      </x:c>
      <x:c r="M270" s="22" t="str">
        <x:v>UN</x:v>
      </x:c>
      <x:c r="N270" s="22" t="str">
        <x:v>CX</x:v>
      </x:c>
      <x:c r="O270" s="22" t="n">
        <x:v>30</x:v>
      </x:c>
      <x:c r="P270" s="28" t="str">
        <x:f>"480"</x:f>
        <x:v>480</x:v>
      </x:c>
      <x:c r="Q270" s="28" t="str">
        <x:f>"G550001"</x:f>
        <x:v>G550001</x:v>
      </x:c>
    </x:row>
    <x:row r="271">
      <x:c r="A271" s="22" t="n">
        <x:v>267</x:v>
      </x:c>
      <x:c r="B271" s="28" t="str">
        <x:f>"G510002"</x:f>
        <x:v>G510002</x:v>
      </x:c>
      <x:c r="C271" s="22" t="str">
        <x:v>GLICOSE 50% 10ML AP - CX/200 - SAMTEC</x:v>
      </x:c>
      <x:c r="D271" s="22" t="str">
        <x:v>GLICOSE %</x:v>
      </x:c>
      <x:c r="E271" s="22" t="str">
        <x:v>GLICOSE</x:v>
      </x:c>
      <x:c r="F271" s="22" t="str">
        <x:v>10ML</x:v>
      </x:c>
      <x:c r="G271" s="22" t="str"/>
      <x:c r="H271" s="22" t="str">
        <x:v>AP | CX/200 | CX | CONTEUDO200 | FATOR200</x:v>
      </x:c>
      <x:c r="I271" s="22" t="str">
        <x:v>CAIXA</x:v>
      </x:c>
      <x:c r="J271" s="22" t="str">
        <x:v>SAMTEC</x:v>
      </x:c>
      <x:c r="K271" s="28" t="str"/>
      <x:c r="L271" s="28" t="str">
        <x:f>"28470000"</x:f>
        <x:v>28470000</x:v>
      </x:c>
      <x:c r="M271" s="22" t="str">
        <x:v>UN</x:v>
      </x:c>
      <x:c r="N271" s="22" t="str">
        <x:v>CX</x:v>
      </x:c>
      <x:c r="O271" s="22" t="n">
        <x:v>200</x:v>
      </x:c>
      <x:c r="P271" s="28" t="str">
        <x:f>"481"</x:f>
        <x:v>481</x:v>
      </x:c>
      <x:c r="Q271" s="28" t="str">
        <x:f>"G510002"</x:f>
        <x:v>G510002</x:v>
      </x:c>
    </x:row>
    <x:row r="272">
      <x:c r="A272" s="22" t="n">
        <x:v>268</x:v>
      </x:c>
      <x:c r="B272" s="28" t="str">
        <x:f>"HN20002"</x:f>
        <x:v>HN20002</x:v>
      </x:c>
      <x:c r="C272" s="22" t="str">
        <x:v>HEMITARTARATO DE NOREPINEFRINA 2MG/ML FR 4ML - HIPOLABOR - CX/50</x:v>
      </x:c>
      <x:c r="D272" s="22" t="str">
        <x:v>HEMITARTARATO NOREPINEFRINA</x:v>
      </x:c>
      <x:c r="E272" s="22" t="str">
        <x:v>HEMITARTARATO NOREPINEFRINA</x:v>
      </x:c>
      <x:c r="F272" s="22" t="str">
        <x:v>2MG/ML | 2MG | 4ML</x:v>
      </x:c>
      <x:c r="G272" s="22" t="str"/>
      <x:c r="H272" s="22" t="str">
        <x:v>FR | CX/50 | CX | CONTEUDO50 | FATOR50</x:v>
      </x:c>
      <x:c r="I272" s="22" t="str">
        <x:v>CAIXA</x:v>
      </x:c>
      <x:c r="J272" s="22" t="str">
        <x:v>HIPOLABOR</x:v>
      </x:c>
      <x:c r="K272" s="28" t="str"/>
      <x:c r="L272" s="28" t="str">
        <x:f>"30043999"</x:f>
        <x:v>30043999</x:v>
      </x:c>
      <x:c r="M272" s="22" t="str">
        <x:v>UN</x:v>
      </x:c>
      <x:c r="N272" s="22" t="str">
        <x:v>CX</x:v>
      </x:c>
      <x:c r="O272" s="22" t="n">
        <x:v>50</x:v>
      </x:c>
      <x:c r="P272" s="28" t="str">
        <x:f>"482"</x:f>
        <x:v>482</x:v>
      </x:c>
      <x:c r="Q272" s="28" t="str">
        <x:f>"HN20002"</x:f>
        <x:v>HN20002</x:v>
      </x:c>
    </x:row>
    <x:row r="273">
      <x:c r="A273" s="22" t="n">
        <x:v>269</x:v>
      </x:c>
      <x:c r="B273" s="28" t="str">
        <x:f>"HN20001"</x:f>
        <x:v>HN20001</x:v>
      </x:c>
      <x:c r="C273" s="22" t="str">
        <x:v>HEMITARTARATO DE NOREPINEFRINA 2MG/ML FR 4ML - HYPOFARMA - CX/50</x:v>
      </x:c>
      <x:c r="D273" s="22" t="str">
        <x:v>HEMITARTARATO NOREPINEFRINA</x:v>
      </x:c>
      <x:c r="E273" s="22" t="str">
        <x:v>HEMITARTARATO NOREPINEFRINA</x:v>
      </x:c>
      <x:c r="F273" s="22" t="str">
        <x:v>2MG/ML | 2MG | 4ML</x:v>
      </x:c>
      <x:c r="G273" s="22" t="str"/>
      <x:c r="H273" s="22" t="str">
        <x:v>FR | CX/50 | CX | CONTEUDO50 | FATOR50</x:v>
      </x:c>
      <x:c r="I273" s="22" t="str">
        <x:v>CAIXA</x:v>
      </x:c>
      <x:c r="J273" s="22" t="str">
        <x:v>HYPOFARMA</x:v>
      </x:c>
      <x:c r="K273" s="28" t="str">
        <x:f>"GTIN: 7891008759099"</x:f>
        <x:v>GTIN: 7891008759099</x:v>
      </x:c>
      <x:c r="L273" s="28" t="str">
        <x:f>"30043999"</x:f>
        <x:v>30043999</x:v>
      </x:c>
      <x:c r="M273" s="22" t="str">
        <x:v>UN</x:v>
      </x:c>
      <x:c r="N273" s="22" t="str">
        <x:v>CX</x:v>
      </x:c>
      <x:c r="O273" s="22" t="n">
        <x:v>50</x:v>
      </x:c>
      <x:c r="P273" s="28" t="str">
        <x:f>"483 | 484"</x:f>
        <x:v>483 | 484</x:v>
      </x:c>
      <x:c r="Q273" s="28" t="str">
        <x:f>"HN20001 | N8H0002"</x:f>
        <x:v>HN20001 | N8H0002</x:v>
      </x:c>
    </x:row>
    <x:row r="274">
      <x:c r="A274" s="22" t="n">
        <x:v>270</x:v>
      </x:c>
      <x:c r="B274" s="28" t="str">
        <x:f>"HS50002"</x:f>
        <x:v>HS50002</x:v>
      </x:c>
      <x:c r="C274" s="22" t="str">
        <x:v>HEPARINA SÓDICA 5.000UI/ML 5ML CX/25 - BLAU</x:v>
      </x:c>
      <x:c r="D274" s="22" t="str">
        <x:v>HEPARINA SODICA ML</x:v>
      </x:c>
      <x:c r="E274" s="22" t="str">
        <x:v>HEPARINA SODICA ML</x:v>
      </x:c>
      <x:c r="F274" s="22" t="str">
        <x:v>5.000UI | 5ML</x:v>
      </x:c>
      <x:c r="G274" s="22" t="str"/>
      <x:c r="H274" s="22" t="str">
        <x:v>CX/25 | CX | CONTEUDO25 | FATOR25</x:v>
      </x:c>
      <x:c r="I274" s="22" t="str">
        <x:v>CAIXA</x:v>
      </x:c>
      <x:c r="J274" s="22" t="str">
        <x:v>BLAU</x:v>
      </x:c>
      <x:c r="K274" s="28" t="str">
        <x:f>"GTIN: 7898470684928"</x:f>
        <x:v>GTIN: 7898470684928</x:v>
      </x:c>
      <x:c r="L274" s="28" t="str">
        <x:f>"30049099"</x:f>
        <x:v>30049099</x:v>
      </x:c>
      <x:c r="M274" s="22" t="str">
        <x:v>UN</x:v>
      </x:c>
      <x:c r="N274" s="22" t="str">
        <x:v>CX</x:v>
      </x:c>
      <x:c r="O274" s="22" t="n">
        <x:v>25</x:v>
      </x:c>
      <x:c r="P274" s="28" t="str">
        <x:f>"485 | 486 | 487 | 488"</x:f>
        <x:v>485 | 486 | 487 | 488</x:v>
      </x:c>
      <x:c r="Q274" s="28" t="str">
        <x:f>"HS50003 | HS50004 | HS50001 | HS50002"</x:f>
        <x:v>HS50003 | HS50004 | HS50001 | HS50002</x:v>
      </x:c>
    </x:row>
    <x:row r="275">
      <x:c r="A275" s="22" t="n">
        <x:v>271</x:v>
      </x:c>
      <x:c r="B275" s="28" t="str">
        <x:f>"H1-0004"</x:f>
        <x:v>H1-0004</x:v>
      </x:c>
      <x:c r="C275" s="22" t="str">
        <x:v>HIDROCORTISONA 100MG - BLAU CX/50</x:v>
      </x:c>
      <x:c r="D275" s="22" t="str">
        <x:v>HIDROCORTISONA</x:v>
      </x:c>
      <x:c r="E275" s="22" t="str">
        <x:v>HIDROCORTISONA</x:v>
      </x:c>
      <x:c r="F275" s="22" t="str">
        <x:v>100MG</x:v>
      </x:c>
      <x:c r="G275" s="22" t="str"/>
      <x:c r="H275" s="22" t="str">
        <x:v>CX/50 | CX | CONTEUDO50 | FATOR50</x:v>
      </x:c>
      <x:c r="I275" s="22" t="str">
        <x:v>CAIXA</x:v>
      </x:c>
      <x:c r="J275" s="22" t="str">
        <x:v>BLAU</x:v>
      </x:c>
      <x:c r="K275" s="28" t="str"/>
      <x:c r="L275" s="28" t="str">
        <x:f>"29372120"</x:f>
        <x:v>29372120</x:v>
      </x:c>
      <x:c r="M275" s="22" t="str">
        <x:v>UN</x:v>
      </x:c>
      <x:c r="N275" s="22" t="str">
        <x:v>CX</x:v>
      </x:c>
      <x:c r="O275" s="22" t="n">
        <x:v>50</x:v>
      </x:c>
      <x:c r="P275" s="28" t="str">
        <x:f>"489 | 490"</x:f>
        <x:v>489 | 490</x:v>
      </x:c>
      <x:c r="Q275" s="28" t="str">
        <x:f>"H1-0004 | H5A0001"</x:f>
        <x:v>H1-0004 | H5A0001</x:v>
      </x:c>
    </x:row>
    <x:row r="276">
      <x:c r="A276" s="22" t="n">
        <x:v>272</x:v>
      </x:c>
      <x:c r="B276" s="28" t="str">
        <x:f>"H1-0003"</x:f>
        <x:v>H1-0003</x:v>
      </x:c>
      <x:c r="C276" s="22" t="str">
        <x:v>HIDROCORTISONA 500MG - BLAU CX/50</x:v>
      </x:c>
      <x:c r="D276" s="22" t="str">
        <x:v>HIDROCORTISONA</x:v>
      </x:c>
      <x:c r="E276" s="22" t="str">
        <x:v>HIDROCORTISONA</x:v>
      </x:c>
      <x:c r="F276" s="22" t="str">
        <x:v>500MG</x:v>
      </x:c>
      <x:c r="G276" s="22" t="str"/>
      <x:c r="H276" s="22" t="str">
        <x:v>CX/50 | CX | CONTEUDO50 | FATOR50</x:v>
      </x:c>
      <x:c r="I276" s="22" t="str">
        <x:v>CAIXA</x:v>
      </x:c>
      <x:c r="J276" s="22" t="str">
        <x:v>BLAU</x:v>
      </x:c>
      <x:c r="K276" s="28" t="str">
        <x:f>"GTIN: 7891004163241"</x:f>
        <x:v>GTIN: 7891004163241</x:v>
      </x:c>
      <x:c r="L276" s="28" t="str">
        <x:f>"29372120"</x:f>
        <x:v>29372120</x:v>
      </x:c>
      <x:c r="M276" s="22" t="str">
        <x:v>UN</x:v>
      </x:c>
      <x:c r="N276" s="22" t="str">
        <x:v>CX</x:v>
      </x:c>
      <x:c r="O276" s="22" t="n">
        <x:v>50</x:v>
      </x:c>
      <x:c r="P276" s="28" t="str">
        <x:f>"491 | 492 | 493 | 494 | 495 | 496"</x:f>
        <x:v>491 | 492 | 493 | 494 | 495 | 496</x:v>
      </x:c>
      <x:c r="Q276" s="28" t="str">
        <x:f>"H5-0002 | H1-0002 | H1-0003 | H5-0003 | H5-0001 | H1-0001"</x:f>
        <x:v>H5-0002 | H1-0002 | H1-0003 | H5-0003 | H5-0001 | H1-0001</x:v>
      </x:c>
    </x:row>
    <x:row r="277">
      <x:c r="A277" s="22" t="n">
        <x:v>273</x:v>
      </x:c>
      <x:c r="B277" s="28" t="str">
        <x:f>"H5F0004"</x:f>
        <x:v>H5F0004</x:v>
      </x:c>
      <x:c r="C277" s="22" t="str">
        <x:v>HIDROCORTISONA 500MG - CX/50 - BLAU</x:v>
      </x:c>
      <x:c r="D277" s="22" t="str">
        <x:v>HIDROCORTISONA</x:v>
      </x:c>
      <x:c r="E277" s="22" t="str">
        <x:v>HIDROCORTISONA</x:v>
      </x:c>
      <x:c r="F277" s="22" t="str">
        <x:v>500MG</x:v>
      </x:c>
      <x:c r="G277" s="22" t="str"/>
      <x:c r="H277" s="22" t="str">
        <x:v>CX/50 | CX | CONTEUDO50 | FATOR50</x:v>
      </x:c>
      <x:c r="I277" s="22" t="str">
        <x:v>CAIXA</x:v>
      </x:c>
      <x:c r="J277" s="22" t="str">
        <x:v>BLAU</x:v>
      </x:c>
      <x:c r="K277" s="28" t="str">
        <x:f>"GTIN: 7896014688456"</x:f>
        <x:v>GTIN: 7896014688456</x:v>
      </x:c>
      <x:c r="L277" s="28" t="str">
        <x:f>"29372120"</x:f>
        <x:v>29372120</x:v>
      </x:c>
      <x:c r="M277" s="22" t="str">
        <x:v>UN</x:v>
      </x:c>
      <x:c r="N277" s="22" t="str">
        <x:v>CX</x:v>
      </x:c>
      <x:c r="O277" s="22" t="n">
        <x:v>50</x:v>
      </x:c>
      <x:c r="P277" s="28" t="str">
        <x:f>"497"</x:f>
        <x:v>497</x:v>
      </x:c>
      <x:c r="Q277" s="28" t="str">
        <x:f>"H5F0004"</x:f>
        <x:v>H5F0004</x:v>
      </x:c>
    </x:row>
    <x:row r="278">
      <x:c r="A278" s="22" t="n">
        <x:v>274</x:v>
      </x:c>
      <x:c r="B278" s="28" t="str">
        <x:f>"H5A0003"</x:f>
        <x:v>H5A0003</x:v>
      </x:c>
      <x:c r="C278" s="22" t="str">
        <x:v>HIDROCORTISONA 500MG ANDROCORTIL - TEUTO CX/50</x:v>
      </x:c>
      <x:c r="D278" s="22" t="str">
        <x:v>HIDROCORTISONA ANDROCORTIL</x:v>
      </x:c>
      <x:c r="E278" s="22" t="str">
        <x:v>HIDROCORTISONA ANDROCORTIL</x:v>
      </x:c>
      <x:c r="F278" s="22" t="str">
        <x:v>500MG</x:v>
      </x:c>
      <x:c r="G278" s="22" t="str"/>
      <x:c r="H278" s="22" t="str">
        <x:v>CX/50 | CX | CONTEUDO50 | FATOR50</x:v>
      </x:c>
      <x:c r="I278" s="22" t="str">
        <x:v>CAIXA</x:v>
      </x:c>
      <x:c r="J278" s="22" t="str">
        <x:v>TEUTO</x:v>
      </x:c>
      <x:c r="K278" s="28" t="str"/>
      <x:c r="L278" s="28" t="str">
        <x:f>"29372120"</x:f>
        <x:v>29372120</x:v>
      </x:c>
      <x:c r="M278" s="22" t="str">
        <x:v>UN</x:v>
      </x:c>
      <x:c r="N278" s="22" t="str">
        <x:v>CX</x:v>
      </x:c>
      <x:c r="O278" s="22" t="n">
        <x:v>50</x:v>
      </x:c>
      <x:c r="P278" s="28" t="str">
        <x:f>"498 | 499 | 500 | 501"</x:f>
        <x:v>498 | 499 | 500 | 501</x:v>
      </x:c>
      <x:c r="Q278" s="28" t="str">
        <x:f>"H5A0003 | H5A0004 | H5A0002 | H5I0018"</x:f>
        <x:v>H5A0003 | H5A0004 | H5A0002 | H5I0018</x:v>
      </x:c>
    </x:row>
    <x:row r="279">
      <x:c r="A279" s="22" t="n">
        <x:v>275</x:v>
      </x:c>
      <x:c r="B279" s="28" t="str">
        <x:f>"HS10001"</x:f>
        <x:v>HS10001</x:v>
      </x:c>
      <x:c r="C279" s="22" t="str">
        <x:v>HIPOCLORITO DE SODIO 1% 5L CORDEX</x:v>
      </x:c>
      <x:c r="D279" s="22" t="str">
        <x:v>HIPOCLORITO SODIO %</x:v>
      </x:c>
      <x:c r="E279" s="22" t="str">
        <x:v>HIPOCLORITO SODIO</x:v>
      </x:c>
      <x:c r="F279" s="22" t="str">
        <x:v>5L</x:v>
      </x:c>
      <x:c r="G279" s="22" t="str"/>
      <x:c r="H279" s="22" t="str">
        <x:v>UND</x:v>
      </x:c>
      <x:c r="I279" s="22" t="str">
        <x:v>UNIDADE</x:v>
      </x:c>
      <x:c r="J279" s="22" t="str">
        <x:v>CORDEX</x:v>
      </x:c>
      <x:c r="K279" s="28" t="str">
        <x:f>"GTIN: 7897534817241"</x:f>
        <x:v>GTIN: 7897534817241</x:v>
      </x:c>
      <x:c r="L279" s="28" t="str">
        <x:f>"28289011"</x:f>
        <x:v>28289011</x:v>
      </x:c>
      <x:c r="M279" s="22" t="str">
        <x:v>UND</x:v>
      </x:c>
      <x:c r="N279" s="22" t="str">
        <x:v>UND</x:v>
      </x:c>
      <x:c r="O279" s="22" t="n">
        <x:v>1</x:v>
      </x:c>
      <x:c r="P279" s="28" t="str">
        <x:f>"502"</x:f>
        <x:v>502</x:v>
      </x:c>
      <x:c r="Q279" s="28" t="str">
        <x:f>"HS10001"</x:f>
        <x:v>HS10001</x:v>
      </x:c>
    </x:row>
    <x:row r="280">
      <x:c r="A280" s="22" t="n">
        <x:v>276</x:v>
      </x:c>
      <x:c r="B280" s="28" t="str">
        <x:f>"HS10002"</x:f>
        <x:v>HS10002</x:v>
      </x:c>
      <x:c r="C280" s="22" t="str">
        <x:v>HIPOCLORITO DE SODIO 5% 5L CORDEX</x:v>
      </x:c>
      <x:c r="D280" s="22" t="str">
        <x:v>HIPOCLORITO SODIO %</x:v>
      </x:c>
      <x:c r="E280" s="22" t="str">
        <x:v>HIPOCLORITO SODIO</x:v>
      </x:c>
      <x:c r="F280" s="22" t="str">
        <x:v>5L</x:v>
      </x:c>
      <x:c r="G280" s="22" t="str"/>
      <x:c r="H280" s="22" t="str">
        <x:v>UND</x:v>
      </x:c>
      <x:c r="I280" s="22" t="str">
        <x:v>UNIDADE</x:v>
      </x:c>
      <x:c r="J280" s="22" t="str">
        <x:v>CORDEX</x:v>
      </x:c>
      <x:c r="K280" s="28" t="str">
        <x:f>"GTIN: 7890000192484"</x:f>
        <x:v>GTIN: 7890000192484</x:v>
      </x:c>
      <x:c r="L280" s="28" t="str">
        <x:f>"28289011"</x:f>
        <x:v>28289011</x:v>
      </x:c>
      <x:c r="M280" s="22" t="str">
        <x:v>UND</x:v>
      </x:c>
      <x:c r="N280" s="22" t="str">
        <x:v>UND</x:v>
      </x:c>
      <x:c r="O280" s="22" t="n">
        <x:v>1</x:v>
      </x:c>
      <x:c r="P280" s="28" t="str">
        <x:f>"503"</x:f>
        <x:v>503</x:v>
      </x:c>
      <x:c r="Q280" s="28" t="str">
        <x:f>"HS10002"</x:f>
        <x:v>HS10002</x:v>
      </x:c>
    </x:row>
    <x:row r="281">
      <x:c r="A281" s="22" t="n">
        <x:v>277</x:v>
      </x:c>
      <x:c r="B281" s="28" t="str">
        <x:f>"HL20001"</x:f>
        <x:v>HL20001</x:v>
      </x:c>
      <x:c r="C281" s="22" t="str">
        <x:v>HYPOCAÍNA LIDOCAINA 2% 20MG/ML 20ML CV - CX/25 - HYPOFARMA</x:v>
      </x:c>
      <x:c r="D281" s="22" t="str">
        <x:v>HYPOCAINA LIDOCAINA % CV</x:v>
      </x:c>
      <x:c r="E281" s="22" t="str">
        <x:v>HYPOCAINA LIDOCAINA CV</x:v>
      </x:c>
      <x:c r="F281" s="22" t="str">
        <x:v>20MG/ML | 20MG | 20ML</x:v>
      </x:c>
      <x:c r="G281" s="22" t="str"/>
      <x:c r="H281" s="22" t="str">
        <x:v>CX/25 | CX | CONTEUDO25 | FATOR25</x:v>
      </x:c>
      <x:c r="I281" s="22" t="str">
        <x:v>CAIXA</x:v>
      </x:c>
      <x:c r="J281" s="22" t="str">
        <x:v>HYPOFARMA</x:v>
      </x:c>
      <x:c r="K281" s="28" t="str">
        <x:f>"GTIN: 7898122911785"</x:f>
        <x:v>GTIN: 7898122911785</x:v>
      </x:c>
      <x:c r="L281" s="28" t="str">
        <x:f>"30049043"</x:f>
        <x:v>30049043</x:v>
      </x:c>
      <x:c r="M281" s="22" t="str">
        <x:v>UN</x:v>
      </x:c>
      <x:c r="N281" s="22" t="str">
        <x:v>CX</x:v>
      </x:c>
      <x:c r="O281" s="22" t="n">
        <x:v>25</x:v>
      </x:c>
      <x:c r="P281" s="28" t="str">
        <x:f>"504 | 505 | 506"</x:f>
        <x:v>504 | 505 | 506</x:v>
      </x:c>
      <x:c r="Q281" s="28" t="str">
        <x:f>"HL20001 | L220031 | HL20002"</x:f>
        <x:v>HL20001 | L220031 | HL20002</x:v>
      </x:c>
    </x:row>
    <x:row r="282">
      <x:c r="A282" s="22" t="n">
        <x:v>278</x:v>
      </x:c>
      <x:c r="B282" s="28" t="str">
        <x:f>"IN50001"</x:f>
        <x:v>IN50001</x:v>
      </x:c>
      <x:c r="C282" s="22" t="str">
        <x:v>IBUPROFENO 50MG/30ML SAB FLAMBOESA - NATULAB</x:v>
      </x:c>
      <x:c r="D282" s="22" t="str">
        <x:v>IBUPROFENO SAB FLAMBOESA</x:v>
      </x:c>
      <x:c r="E282" s="22" t="str">
        <x:v>IBUPROFENO SAB FLAMBOESA</x:v>
      </x:c>
      <x:c r="F282" s="22" t="str">
        <x:v>50MG/30ML | 50MG | 30ML</x:v>
      </x:c>
      <x:c r="G282" s="22" t="str"/>
      <x:c r="H282" s="22" t="str">
        <x:v>UND</x:v>
      </x:c>
      <x:c r="I282" s="22" t="str">
        <x:v>UNIDADE</x:v>
      </x:c>
      <x:c r="J282" s="22" t="str">
        <x:v>NATULAB</x:v>
      </x:c>
      <x:c r="K282" s="28" t="str">
        <x:f>"GTIN: 7898133133190"</x:f>
        <x:v>GTIN: 7898133133190</x:v>
      </x:c>
      <x:c r="L282" s="28" t="str">
        <x:f>"29163920"</x:f>
        <x:v>29163920</x:v>
      </x:c>
      <x:c r="M282" s="22" t="str">
        <x:v>UND</x:v>
      </x:c>
      <x:c r="N282" s="22" t="str">
        <x:v>UND</x:v>
      </x:c>
      <x:c r="O282" s="22" t="n">
        <x:v>1</x:v>
      </x:c>
      <x:c r="P282" s="28" t="str">
        <x:f>"507"</x:f>
        <x:v>507</x:v>
      </x:c>
      <x:c r="Q282" s="28" t="str">
        <x:f>"IN50001"</x:f>
        <x:v>IN50001</x:v>
      </x:c>
    </x:row>
    <x:row r="283">
      <x:c r="A283" s="22" t="n">
        <x:v>279</x:v>
      </x:c>
      <x:c r="B283" s="28" t="str">
        <x:f>"IHR0005"</x:f>
        <x:v>IHR0005</x:v>
      </x:c>
      <x:c r="C283" s="22" t="str">
        <x:v>INSULINA HUMANA 100MG/10ML INSUNORM N - ASPEN PHARMA</x:v>
      </x:c>
      <x:c r="D283" s="22" t="str">
        <x:v>INSULINA HUMANA INSUNORM N</x:v>
      </x:c>
      <x:c r="E283" s="22" t="str">
        <x:v>INSULINA HUMANA INSUNORM</x:v>
      </x:c>
      <x:c r="F283" s="22" t="str">
        <x:v>100MG/10ML | 100MG | 10ML</x:v>
      </x:c>
      <x:c r="G283" s="22" t="str"/>
      <x:c r="H283" s="22" t="str">
        <x:v>UND</x:v>
      </x:c>
      <x:c r="I283" s="22" t="str">
        <x:v>UNIDADE</x:v>
      </x:c>
      <x:c r="J283" s="22" t="str">
        <x:v>ASPEN PHARMA</x:v>
      </x:c>
      <x:c r="K283" s="28" t="str">
        <x:f>"GTIN: 7895858005436"</x:f>
        <x:v>GTIN: 7895858005436</x:v>
      </x:c>
      <x:c r="L283" s="28" t="str">
        <x:f>"29371200"</x:f>
        <x:v>29371200</x:v>
      </x:c>
      <x:c r="M283" s="22" t="str">
        <x:v>UND</x:v>
      </x:c>
      <x:c r="N283" s="22" t="str">
        <x:v>UND</x:v>
      </x:c>
      <x:c r="O283" s="22" t="n">
        <x:v>1</x:v>
      </x:c>
      <x:c r="P283" s="28" t="str">
        <x:f>"508"</x:f>
        <x:v>508</x:v>
      </x:c>
      <x:c r="Q283" s="28" t="str">
        <x:f>"IHR0005"</x:f>
        <x:v>IHR0005</x:v>
      </x:c>
    </x:row>
    <x:row r="284">
      <x:c r="A284" s="22" t="n">
        <x:v>280</x:v>
      </x:c>
      <x:c r="B284" s="28" t="str">
        <x:f>"IHN0001"</x:f>
        <x:v>IHN0001</x:v>
      </x:c>
      <x:c r="C284" s="22" t="str">
        <x:v>INSULINA HUMANA NPH 100UI/ML 10ML - ELI LILLY</x:v>
      </x:c>
      <x:c r="D284" s="22" t="str">
        <x:v>INSULINA HUMANA NPH ML</x:v>
      </x:c>
      <x:c r="E284" s="22" t="str">
        <x:v>INSULINA HUMANA NPH</x:v>
      </x:c>
      <x:c r="F284" s="22" t="str">
        <x:v>100UI | 10ML</x:v>
      </x:c>
      <x:c r="G284" s="22" t="str"/>
      <x:c r="H284" s="22" t="str">
        <x:v>UND</x:v>
      </x:c>
      <x:c r="I284" s="22" t="str">
        <x:v>UNIDADE</x:v>
      </x:c>
      <x:c r="J284" s="22" t="str">
        <x:v>ELI LILLY</x:v>
      </x:c>
      <x:c r="K284" s="28" t="str"/>
      <x:c r="L284" s="28" t="str">
        <x:f>"29371200"</x:f>
        <x:v>29371200</x:v>
      </x:c>
      <x:c r="M284" s="22" t="str">
        <x:v>UND</x:v>
      </x:c>
      <x:c r="N284" s="22" t="str">
        <x:v>UND</x:v>
      </x:c>
      <x:c r="O284" s="22" t="n">
        <x:v>1</x:v>
      </x:c>
      <x:c r="P284" s="28" t="str">
        <x:f>"509"</x:f>
        <x:v>509</x:v>
      </x:c>
      <x:c r="Q284" s="28" t="str">
        <x:f>"IHN0001"</x:f>
        <x:v>IHN0001</x:v>
      </x:c>
    </x:row>
    <x:row r="285">
      <x:c r="A285" s="22" t="n">
        <x:v>281</x:v>
      </x:c>
      <x:c r="B285" s="28" t="str">
        <x:f>"IHN0008"</x:f>
        <x:v>IHN0008</x:v>
      </x:c>
      <x:c r="C285" s="22" t="str">
        <x:v>INSULINA HUMANA NPH 100UI/ML 10ML - NOVO NORDISK (NOVOLIN)</x:v>
      </x:c>
      <x:c r="D285" s="22" t="str">
        <x:v>INSULINA HUMANA NPH ML</x:v>
      </x:c>
      <x:c r="E285" s="22" t="str">
        <x:v>INSULINA HUMANA NPH</x:v>
      </x:c>
      <x:c r="F285" s="22" t="str">
        <x:v>100UI | 10ML</x:v>
      </x:c>
      <x:c r="G285" s="22" t="str"/>
      <x:c r="H285" s="22" t="str">
        <x:v>UND</x:v>
      </x:c>
      <x:c r="I285" s="22" t="str">
        <x:v>UNIDADE</x:v>
      </x:c>
      <x:c r="J285" s="22" t="str">
        <x:v>NOVO NORDISK</x:v>
      </x:c>
      <x:c r="K285" s="28" t="str">
        <x:f>"GTIN: 7897705203231"</x:f>
        <x:v>GTIN: 7897705203231</x:v>
      </x:c>
      <x:c r="L285" s="28" t="str">
        <x:f>"29371200"</x:f>
        <x:v>29371200</x:v>
      </x:c>
      <x:c r="M285" s="22" t="str">
        <x:v>UND</x:v>
      </x:c>
      <x:c r="N285" s="22" t="str">
        <x:v>UND</x:v>
      </x:c>
      <x:c r="O285" s="22" t="n">
        <x:v>1</x:v>
      </x:c>
      <x:c r="P285" s="28" t="str">
        <x:f>"510 | 511"</x:f>
        <x:v>510 | 511</x:v>
      </x:c>
      <x:c r="Q285" s="28" t="str">
        <x:f>"IHN0008 | IHN0002"</x:f>
        <x:v>IHN0008 | IHN0002</x:v>
      </x:c>
    </x:row>
    <x:row r="286">
      <x:c r="A286" s="22" t="n">
        <x:v>282</x:v>
      </x:c>
      <x:c r="B286" s="28" t="str">
        <x:f>"IHR0002"</x:f>
        <x:v>IHR0002</x:v>
      </x:c>
      <x:c r="C286" s="22" t="str">
        <x:v>INSULINA HUMANA REGULAR 100MG/10ML - NOVO NORDISK (NOVOLIN)</x:v>
      </x:c>
      <x:c r="D286" s="22" t="str">
        <x:v>INSULINA HUMANA REGULAR</x:v>
      </x:c>
      <x:c r="E286" s="22" t="str">
        <x:v>INSULINA HUMANA REGULAR</x:v>
      </x:c>
      <x:c r="F286" s="22" t="str">
        <x:v>100MG/10ML | 100MG | 10ML</x:v>
      </x:c>
      <x:c r="G286" s="22" t="str"/>
      <x:c r="H286" s="22" t="str">
        <x:v>UND</x:v>
      </x:c>
      <x:c r="I286" s="22" t="str">
        <x:v>UNIDADE</x:v>
      </x:c>
      <x:c r="J286" s="22" t="str">
        <x:v>NOVO NORDISK</x:v>
      </x:c>
      <x:c r="K286" s="28" t="str">
        <x:f>"GTIN: 7897705203224"</x:f>
        <x:v>GTIN: 7897705203224</x:v>
      </x:c>
      <x:c r="L286" s="28" t="str">
        <x:f>"29371200"</x:f>
        <x:v>29371200</x:v>
      </x:c>
      <x:c r="M286" s="22" t="str">
        <x:v>UND</x:v>
      </x:c>
      <x:c r="N286" s="22" t="str">
        <x:v>UND</x:v>
      </x:c>
      <x:c r="O286" s="22" t="n">
        <x:v>1</x:v>
      </x:c>
      <x:c r="P286" s="28" t="str">
        <x:f>"512 | 513 | 514"</x:f>
        <x:v>512 | 513 | 514</x:v>
      </x:c>
      <x:c r="Q286" s="28" t="str">
        <x:f>"IHR0002 | IHR0006 | IHR0001"</x:f>
        <x:v>IHR0002 | IHR0006 | IHR0001</x:v>
      </x:c>
    </x:row>
    <x:row r="287">
      <x:c r="A287" s="22" t="n">
        <x:v>283</x:v>
      </x:c>
      <x:c r="B287" s="28" t="str">
        <x:f>"CNI0005"</x:f>
        <x:v>CNI0005</x:v>
      </x:c>
      <x:c r="C287" s="22" t="str">
        <x:v>IOPAMIDIOL CONTRASTE NÃO IONICO 300MG/50ML - PATHEON ITALIA</x:v>
      </x:c>
      <x:c r="D287" s="22" t="str">
        <x:v>IOPAMIDIOL CONTRASTE NAO IONICO</x:v>
      </x:c>
      <x:c r="E287" s="22" t="str">
        <x:v>IOPAMIDIOL CONTRASTE NAO</x:v>
      </x:c>
      <x:c r="F287" s="22" t="str">
        <x:v>300MG/50ML | 300MG | 50ML</x:v>
      </x:c>
      <x:c r="G287" s="22" t="str"/>
      <x:c r="H287" s="22" t="str">
        <x:v>CX | CONTEUDO10 | FATOR10</x:v>
      </x:c>
      <x:c r="I287" s="22" t="str">
        <x:v>CAIXA</x:v>
      </x:c>
      <x:c r="J287" s="22" t="str">
        <x:v>PATHEON ITALIA</x:v>
      </x:c>
      <x:c r="K287" s="28" t="str"/>
      <x:c r="L287" s="28" t="str">
        <x:f>"30049099"</x:f>
        <x:v>30049099</x:v>
      </x:c>
      <x:c r="M287" s="22" t="str">
        <x:v>UN</x:v>
      </x:c>
      <x:c r="N287" s="22" t="str">
        <x:v>CX</x:v>
      </x:c>
      <x:c r="O287" s="22" t="n">
        <x:v>10</x:v>
      </x:c>
      <x:c r="P287" s="28" t="str">
        <x:f>"515"</x:f>
        <x:v>515</x:v>
      </x:c>
      <x:c r="Q287" s="28" t="str">
        <x:f>"CNI0005"</x:f>
        <x:v>CNI0005</x:v>
      </x:c>
    </x:row>
    <x:row r="288">
      <x:c r="A288" s="22" t="n">
        <x:v>284</x:v>
      </x:c>
      <x:c r="B288" s="28" t="str">
        <x:f>"KP+0003"</x:f>
        <x:v>KP+0003</x:v>
      </x:c>
      <x:c r="C288" s="22" t="str">
        <x:v>KABIVEN POLIAMINOACIDOS + GLICOSE + EMULSAO LIPIDICA - CX 4 - 2053ML</x:v>
      </x:c>
      <x:c r="D288" s="22" t="str">
        <x:v>KABIVEN POLIAMINOACIDOS + GLICOSE + EMULSAO LIPIDICA</x:v>
      </x:c>
      <x:c r="E288" s="22" t="str">
        <x:v>KABIVEN POLIAMINOACIDOS GLICOSE</x:v>
      </x:c>
      <x:c r="F288" s="22" t="str">
        <x:v>2053ML</x:v>
      </x:c>
      <x:c r="G288" s="22" t="str"/>
      <x:c r="H288" s="22" t="str">
        <x:v>CX4</x:v>
      </x:c>
      <x:c r="I288" s="22" t="str">
        <x:v>CAIXA</x:v>
      </x:c>
      <x:c r="J288" s="22" t="str">
        <x:v>DESCARPAK</x:v>
      </x:c>
      <x:c r="K288" s="28" t="str">
        <x:f>"GTIN: 7897947700925"</x:f>
        <x:v>GTIN: 7897947700925</x:v>
      </x:c>
      <x:c r="L288" s="28" t="str">
        <x:f>"30049099"</x:f>
        <x:v>30049099</x:v>
      </x:c>
      <x:c r="M288" s="22" t="str">
        <x:v>CX4</x:v>
      </x:c>
      <x:c r="N288" s="22" t="str">
        <x:v>CX4</x:v>
      </x:c>
      <x:c r="O288" s="22" t="n">
        <x:v>1</x:v>
      </x:c>
      <x:c r="P288" s="28" t="str">
        <x:f>"516 | 517"</x:f>
        <x:v>516 | 517</x:v>
      </x:c>
      <x:c r="Q288" s="28" t="str">
        <x:f>"KP+0003 | KP+0001"</x:f>
        <x:v>KP+0003 | KP+0001</x:v>
      </x:c>
    </x:row>
    <x:row r="289">
      <x:c r="A289" s="22" t="n">
        <x:v>285</x:v>
      </x:c>
      <x:c r="B289" s="28" t="str">
        <x:f>"CEK0010"</x:f>
        <x:v>CEK0010</x:v>
      </x:c>
      <x:c r="C289" s="22" t="str">
        <x:v>KETAMIN 10 ML - HIPOLABOR - CX/50</x:v>
      </x:c>
      <x:c r="D289" s="22" t="str">
        <x:v>KETAMIN</x:v>
      </x:c>
      <x:c r="E289" s="22" t="str">
        <x:v>KETAMIN</x:v>
      </x:c>
      <x:c r="F289" s="22" t="str">
        <x:v>10ML</x:v>
      </x:c>
      <x:c r="G289" s="22" t="str"/>
      <x:c r="H289" s="22" t="str">
        <x:v>CX/50 | CX | CONTEUDO50 | FATOR50</x:v>
      </x:c>
      <x:c r="I289" s="22" t="str">
        <x:v>CAIXA</x:v>
      </x:c>
      <x:c r="J289" s="22" t="str">
        <x:v>HIPOLABOR</x:v>
      </x:c>
      <x:c r="K289" s="28" t="str">
        <x:f>"GTIN: 7896676429350"</x:f>
        <x:v>GTIN: 7896676429350</x:v>
      </x:c>
      <x:c r="L289" s="28" t="str">
        <x:f>"30049032"</x:f>
        <x:v>30049032</x:v>
      </x:c>
      <x:c r="M289" s="22" t="str">
        <x:v>UN</x:v>
      </x:c>
      <x:c r="N289" s="22" t="str">
        <x:v>CX</x:v>
      </x:c>
      <x:c r="O289" s="22" t="n">
        <x:v>50</x:v>
      </x:c>
      <x:c r="P289" s="28" t="str">
        <x:f>"518"</x:f>
        <x:v>518</x:v>
      </x:c>
      <x:c r="Q289" s="28" t="str">
        <x:f>"CEK0010"</x:f>
        <x:v>CEK0010</x:v>
      </x:c>
    </x:row>
    <x:row r="290">
      <x:c r="A290" s="22" t="n">
        <x:v>286</x:v>
      </x:c>
      <x:c r="B290" s="28" t="str">
        <x:f>"PCU0002"</x:f>
        <x:v>PCU0002</x:v>
      </x:c>
      <x:c r="C290" s="22" t="str">
        <x:v>KIT CIRURGICO UNIVERSAL ESTÉRIL - PCT/1 KIT - CX/10 - PION G</x:v>
      </x:c>
      <x:c r="D290" s="22" t="str">
        <x:v>CIRURGICO UNIVERSAL ESTERIL</x:v>
      </x:c>
      <x:c r="E290" s="22" t="str">
        <x:v>CIRURGICO UNIVERSAL ESTERIL</x:v>
      </x:c>
      <x:c r="F290" s="22" t="str"/>
      <x:c r="G290" s="22" t="str"/>
      <x:c r="H290" s="22" t="str">
        <x:v>KIT | PCT/1 | CX/10 | CX | CONTEUDO10 | FATOR10</x:v>
      </x:c>
      <x:c r="I290" s="22" t="str">
        <x:v>CAIXA</x:v>
      </x:c>
      <x:c r="J290" s="22" t="str">
        <x:v>PION G</x:v>
      </x:c>
      <x:c r="K290" s="28" t="str">
        <x:f>"GTIN: 7898010926921"</x:f>
        <x:v>GTIN: 7898010926921</x:v>
      </x:c>
      <x:c r="L290" s="28" t="str">
        <x:f>"30059020"</x:f>
        <x:v>30059020</x:v>
      </x:c>
      <x:c r="M290" s="22" t="str">
        <x:v>UN</x:v>
      </x:c>
      <x:c r="N290" s="22" t="str">
        <x:v>CX</x:v>
      </x:c>
      <x:c r="O290" s="22" t="n">
        <x:v>10</x:v>
      </x:c>
      <x:c r="P290" s="28" t="str">
        <x:f>"519"</x:f>
        <x:v>519</x:v>
      </x:c>
      <x:c r="Q290" s="28" t="str">
        <x:f>"PCU0002"</x:f>
        <x:v>PCU0002</x:v>
      </x:c>
    </x:row>
    <x:row r="291">
      <x:c r="A291" s="22" t="n">
        <x:v>287</x:v>
      </x:c>
      <x:c r="B291" s="28" t="str">
        <x:f>"KCU0005"</x:f>
        <x:v>KCU0005</x:v>
      </x:c>
      <x:c r="C291" s="22" t="str">
        <x:v>KIT CIRURGICO UNIVERSAL ESTÉRIL C/ AVENTAL E BORNAL - CX/06 - PION G</x:v>
      </x:c>
      <x:c r="D291" s="22" t="str">
        <x:v>CIRURGICO UNIVERSAL ESTERIL AVENTAL BORNAL</x:v>
      </x:c>
      <x:c r="E291" s="22" t="str">
        <x:v>CIRURGICO UNIVERSAL ESTERIL</x:v>
      </x:c>
      <x:c r="F291" s="22" t="str"/>
      <x:c r="G291" s="22" t="str"/>
      <x:c r="H291" s="22" t="str">
        <x:v>KIT | CX/06 | CX | CONTEUDO6 | FATOR6</x:v>
      </x:c>
      <x:c r="I291" s="22" t="str">
        <x:v>CAIXA</x:v>
      </x:c>
      <x:c r="J291" s="22" t="str">
        <x:v>PION G</x:v>
      </x:c>
      <x:c r="K291" s="28" t="str"/>
      <x:c r="L291" s="28" t="str">
        <x:f>"30059020"</x:f>
        <x:v>30059020</x:v>
      </x:c>
      <x:c r="M291" s="22" t="str">
        <x:v>UN</x:v>
      </x:c>
      <x:c r="N291" s="22" t="str">
        <x:v>CX</x:v>
      </x:c>
      <x:c r="O291" s="22" t="n">
        <x:v>6</x:v>
      </x:c>
      <x:c r="P291" s="28" t="str">
        <x:f>"520"</x:f>
        <x:v>520</x:v>
      </x:c>
      <x:c r="Q291" s="28" t="str">
        <x:f>"KCU0005"</x:f>
        <x:v>KCU0005</x:v>
      </x:c>
    </x:row>
    <x:row r="292">
      <x:c r="A292" s="22" t="n">
        <x:v>288</x:v>
      </x:c>
      <x:c r="B292" s="28" t="str">
        <x:f>"KCU0002"</x:f>
        <x:v>KCU0002</x:v>
      </x:c>
      <x:c r="C292" s="22" t="str">
        <x:v>KIT CIRURGICO UNIVERSAL LAMINADO IMPERMEÁVEL GR50 C/02 AVENTAIS ESTÉRIL - CX/10 - WINNER</x:v>
      </x:c>
      <x:c r="D292" s="22" t="str">
        <x:v>CIRURGICO UNIVERSAL LAMINADO IMPERMEAVEL GR50 AVENTAIS ESTERIL</x:v>
      </x:c>
      <x:c r="E292" s="22" t="str">
        <x:v>CIRURGICO UNIVERSAL LAMINADO</x:v>
      </x:c>
      <x:c r="F292" s="22" t="str"/>
      <x:c r="G292" s="22" t="str"/>
      <x:c r="H292" s="22" t="str">
        <x:v>KIT | CX/10 | CX10</x:v>
      </x:c>
      <x:c r="I292" s="22" t="str">
        <x:v>CAIXA</x:v>
      </x:c>
      <x:c r="J292" s="22" t="str">
        <x:v>WINNER</x:v>
      </x:c>
      <x:c r="K292" s="28" t="str">
        <x:f>"GTIN: 7898010926921"</x:f>
        <x:v>GTIN: 7898010926921</x:v>
      </x:c>
      <x:c r="L292" s="28" t="str">
        <x:f>"30059020"</x:f>
        <x:v>30059020</x:v>
      </x:c>
      <x:c r="M292" s="22" t="str">
        <x:v>CX10</x:v>
      </x:c>
      <x:c r="N292" s="22" t="str">
        <x:v>CX10</x:v>
      </x:c>
      <x:c r="O292" s="22" t="n">
        <x:v>1</x:v>
      </x:c>
      <x:c r="P292" s="28" t="str">
        <x:f>"521"</x:f>
        <x:v>521</x:v>
      </x:c>
      <x:c r="Q292" s="28" t="str">
        <x:f>"KCU0002"</x:f>
        <x:v>KCU0002</x:v>
      </x:c>
    </x:row>
    <x:row r="293">
      <x:c r="A293" s="22" t="n">
        <x:v>289</x:v>
      </x:c>
      <x:c r="B293" s="28" t="str">
        <x:f>"KCU0001"</x:f>
        <x:v>KCU0001</x:v>
      </x:c>
      <x:c r="C293" s="22" t="str">
        <x:v>KIT CIRURGICO UNIVERSAL LAMINADO IMPERMEÁVEL GR50 C/02 AVENTAIS ESTÉRIL - CX/12 - WINNER</x:v>
      </x:c>
      <x:c r="D293" s="22" t="str">
        <x:v>CIRURGICO UNIVERSAL LAMINADO IMPERMEAVEL GR50 AVENTAIS ESTERIL</x:v>
      </x:c>
      <x:c r="E293" s="22" t="str">
        <x:v>CIRURGICO UNIVERSAL LAMINADO</x:v>
      </x:c>
      <x:c r="F293" s="22" t="str"/>
      <x:c r="G293" s="22" t="str"/>
      <x:c r="H293" s="22" t="str">
        <x:v>KIT | CX/12 | CX12</x:v>
      </x:c>
      <x:c r="I293" s="22" t="str">
        <x:v>CAIXA</x:v>
      </x:c>
      <x:c r="J293" s="22" t="str">
        <x:v>WINNER</x:v>
      </x:c>
      <x:c r="K293" s="28" t="str"/>
      <x:c r="L293" s="28" t="str">
        <x:f>"30059020"</x:f>
        <x:v>30059020</x:v>
      </x:c>
      <x:c r="M293" s="22" t="str">
        <x:v>CX12</x:v>
      </x:c>
      <x:c r="N293" s="22" t="str">
        <x:v>CX12</x:v>
      </x:c>
      <x:c r="O293" s="22" t="n">
        <x:v>1</x:v>
      </x:c>
      <x:c r="P293" s="28" t="str">
        <x:f>"522"</x:f>
        <x:v>522</x:v>
      </x:c>
      <x:c r="Q293" s="28" t="str">
        <x:f>"KCU0001"</x:f>
        <x:v>KCU0001</x:v>
      </x:c>
    </x:row>
    <x:row r="294">
      <x:c r="A294" s="22" t="n">
        <x:v>290</x:v>
      </x:c>
      <x:c r="B294" s="28" t="str">
        <x:f>"KCU0004"</x:f>
        <x:v>KCU0004</x:v>
      </x:c>
      <x:c r="C294" s="22" t="str">
        <x:v>KIT CIRURGICO UNIVERSAL LAMINADO IMPERMEÁVEL GR50 C/02 AVENTAIS ESTÉRIL - CX/17 - WINNER</x:v>
      </x:c>
      <x:c r="D294" s="22" t="str">
        <x:v>CIRURGICO UNIVERSAL LAMINADO IMPERMEAVEL GR50 AVENTAIS ESTERIL</x:v>
      </x:c>
      <x:c r="E294" s="22" t="str">
        <x:v>CIRURGICO UNIVERSAL LAMINADO</x:v>
      </x:c>
      <x:c r="F294" s="22" t="str"/>
      <x:c r="G294" s="22" t="str"/>
      <x:c r="H294" s="22" t="str">
        <x:v>KIT | CX/17 | CX17</x:v>
      </x:c>
      <x:c r="I294" s="22" t="str">
        <x:v>CAIXA</x:v>
      </x:c>
      <x:c r="J294" s="22" t="str">
        <x:v>WINNER</x:v>
      </x:c>
      <x:c r="K294" s="28" t="str"/>
      <x:c r="L294" s="28" t="str">
        <x:f>"30059020"</x:f>
        <x:v>30059020</x:v>
      </x:c>
      <x:c r="M294" s="22" t="str">
        <x:v>CX17</x:v>
      </x:c>
      <x:c r="N294" s="22" t="str">
        <x:v>CX17</x:v>
      </x:c>
      <x:c r="O294" s="22" t="n">
        <x:v>1</x:v>
      </x:c>
      <x:c r="P294" s="28" t="str">
        <x:f>"523"</x:f>
        <x:v>523</x:v>
      </x:c>
      <x:c r="Q294" s="28" t="str">
        <x:f>"KCU0004"</x:f>
        <x:v>KCU0004</x:v>
      </x:c>
    </x:row>
    <x:row r="295">
      <x:c r="A295" s="22" t="n">
        <x:v>291</x:v>
      </x:c>
      <x:c r="B295" s="28" t="str">
        <x:f>"KCU0003"</x:f>
        <x:v>KCU0003</x:v>
      </x:c>
      <x:c r="C295" s="22" t="str">
        <x:v>KIT CIRURGICO UNIVERSAL LAMINADO IMPERMEÁVEL GR50 ESTÉRIL - CX/17 - WINNER</x:v>
      </x:c>
      <x:c r="D295" s="22" t="str">
        <x:v>CIRURGICO UNIVERSAL LAMINADO IMPERMEAVEL GR50 ESTERIL</x:v>
      </x:c>
      <x:c r="E295" s="22" t="str">
        <x:v>CIRURGICO UNIVERSAL LAMINADO</x:v>
      </x:c>
      <x:c r="F295" s="22" t="str"/>
      <x:c r="G295" s="22" t="str"/>
      <x:c r="H295" s="22" t="str">
        <x:v>KIT | CX/17 | CX17</x:v>
      </x:c>
      <x:c r="I295" s="22" t="str">
        <x:v>CAIXA</x:v>
      </x:c>
      <x:c r="J295" s="22" t="str">
        <x:v>WINNER</x:v>
      </x:c>
      <x:c r="K295" s="28" t="str">
        <x:f>"GTIN: 7898010926921"</x:f>
        <x:v>GTIN: 7898010926921</x:v>
      </x:c>
      <x:c r="L295" s="28" t="str">
        <x:f>"30059020"</x:f>
        <x:v>30059020</x:v>
      </x:c>
      <x:c r="M295" s="22" t="str">
        <x:v>CX17</x:v>
      </x:c>
      <x:c r="N295" s="22" t="str">
        <x:v>CX17</x:v>
      </x:c>
      <x:c r="O295" s="22" t="n">
        <x:v>1</x:v>
      </x:c>
      <x:c r="P295" s="28" t="str">
        <x:f>"524"</x:f>
        <x:v>524</x:v>
      </x:c>
      <x:c r="Q295" s="28" t="str">
        <x:f>"KCU0003"</x:f>
        <x:v>KCU0003</x:v>
      </x:c>
    </x:row>
    <x:row r="296">
      <x:c r="A296" s="22" t="n">
        <x:v>292</x:v>
      </x:c>
      <x:c r="B296" s="28" t="str">
        <x:f>"KC10002"</x:f>
        <x:v>KC10002</x:v>
      </x:c>
      <x:c r="C296" s="22" t="str">
        <x:v>KIT DE CATETERIZAÇÃO 18GAX08CM (RADIAL) - ALIVE HEART</x:v>
      </x:c>
      <x:c r="D296" s="22" t="str">
        <x:v>CATETERIZACAO 18GAX08CM</x:v>
      </x:c>
      <x:c r="E296" s="22" t="str">
        <x:v>CATETERIZACAO 18GAX08CM</x:v>
      </x:c>
      <x:c r="F296" s="22" t="str"/>
      <x:c r="G296" s="22" t="str"/>
      <x:c r="H296" s="22" t="str">
        <x:v>KIT | UN</x:v>
      </x:c>
      <x:c r="I296" s="22" t="str">
        <x:v>UNIDADE</x:v>
      </x:c>
      <x:c r="J296" s="22" t="str">
        <x:v>ALIVE HEART</x:v>
      </x:c>
      <x:c r="K296" s="28" t="str"/>
      <x:c r="L296" s="28" t="str">
        <x:f>"90183999"</x:f>
        <x:v>90183999</x:v>
      </x:c>
      <x:c r="M296" s="22" t="str">
        <x:v>UN</x:v>
      </x:c>
      <x:c r="N296" s="22" t="str">
        <x:v>UN</x:v>
      </x:c>
      <x:c r="O296" s="22" t="n">
        <x:v>1</x:v>
      </x:c>
      <x:c r="P296" s="28" t="str">
        <x:f>"525"</x:f>
        <x:v>525</x:v>
      </x:c>
      <x:c r="Q296" s="28" t="str">
        <x:f>"KC10002"</x:f>
        <x:v>KC10002</x:v>
      </x:c>
    </x:row>
    <x:row r="297">
      <x:c r="A297" s="22" t="n">
        <x:v>293</x:v>
      </x:c>
      <x:c r="B297" s="28" t="str">
        <x:f>"KC10003"</x:f>
        <x:v>KC10003</x:v>
      </x:c>
      <x:c r="C297" s="22" t="str">
        <x:v>KIT DE CATETERIZAÇÃO 18GAX12CM (FEMURAL) - ALIVE HEART</x:v>
      </x:c>
      <x:c r="D297" s="22" t="str">
        <x:v>CATETERIZACAO 18GAX12CM</x:v>
      </x:c>
      <x:c r="E297" s="22" t="str">
        <x:v>CATETERIZACAO 18GAX12CM</x:v>
      </x:c>
      <x:c r="F297" s="22" t="str"/>
      <x:c r="G297" s="22" t="str"/>
      <x:c r="H297" s="22" t="str">
        <x:v>KIT | UN</x:v>
      </x:c>
      <x:c r="I297" s="22" t="str">
        <x:v>UNIDADE</x:v>
      </x:c>
      <x:c r="J297" s="22" t="str">
        <x:v>ALIVE HEART</x:v>
      </x:c>
      <x:c r="K297" s="28" t="str">
        <x:f>"GTIN: 7898283812884"</x:f>
        <x:v>GTIN: 7898283812884</x:v>
      </x:c>
      <x:c r="L297" s="28" t="str">
        <x:f>"90183999"</x:f>
        <x:v>90183999</x:v>
      </x:c>
      <x:c r="M297" s="22" t="str">
        <x:v>UN</x:v>
      </x:c>
      <x:c r="N297" s="22" t="str">
        <x:v>UN</x:v>
      </x:c>
      <x:c r="O297" s="22" t="n">
        <x:v>1</x:v>
      </x:c>
      <x:c r="P297" s="28" t="str">
        <x:f>"526 | 527 | 528"</x:f>
        <x:v>526 | 527 | 528</x:v>
      </x:c>
      <x:c r="Q297" s="28" t="str">
        <x:f>"KC10003 | KC10001 | KC10004"</x:f>
        <x:v>KC10003 | KC10001 | KC10004</x:v>
      </x:c>
    </x:row>
    <x:row r="298">
      <x:c r="A298" s="22" t="n">
        <x:v>294</x:v>
      </x:c>
      <x:c r="B298" s="28" t="str">
        <x:f>"KGP0001"</x:f>
        <x:v>KGP0001</x:v>
      </x:c>
      <x:c r="C298" s="22" t="str">
        <x:v>KIT GINECOLOGICO PAPANICOLAU ESTERIL TAM P 602P - CRAL</x:v>
      </x:c>
      <x:c r="D298" s="22" t="str">
        <x:v>GINECOLOGICO PAPANICOLAU ESTERIL TAM P 602P</x:v>
      </x:c>
      <x:c r="E298" s="22" t="str">
        <x:v>GINECOLOGICO PAPANICOLAU ESTERIL</x:v>
      </x:c>
      <x:c r="F298" s="22" t="str"/>
      <x:c r="G298" s="22" t="str">
        <x:v>TAMP</x:v>
      </x:c>
      <x:c r="H298" s="22" t="str">
        <x:v>KIT | UN</x:v>
      </x:c>
      <x:c r="I298" s="22" t="str">
        <x:v>UNIDADE</x:v>
      </x:c>
      <x:c r="J298" s="22" t="str">
        <x:v>CRAL</x:v>
      </x:c>
      <x:c r="K298" s="28" t="str"/>
      <x:c r="L298" s="28" t="str">
        <x:f>"39269040"</x:f>
        <x:v>39269040</x:v>
      </x:c>
      <x:c r="M298" s="22" t="str">
        <x:v>UN</x:v>
      </x:c>
      <x:c r="N298" s="22" t="str">
        <x:v>UN</x:v>
      </x:c>
      <x:c r="O298" s="22" t="n">
        <x:v>1</x:v>
      </x:c>
      <x:c r="P298" s="28" t="str">
        <x:f>"529"</x:f>
        <x:v>529</x:v>
      </x:c>
      <x:c r="Q298" s="28" t="str">
        <x:f>"KGP0001"</x:f>
        <x:v>KGP0001</x:v>
      </x:c>
    </x:row>
    <x:row r="299">
      <x:c r="A299" s="22" t="n">
        <x:v>295</x:v>
      </x:c>
      <x:c r="B299" s="28" t="str">
        <x:f>"LDC0001"</x:f>
        <x:v>LDC0001</x:v>
      </x:c>
      <x:c r="C299" s="22" t="str">
        <x:v>LENÇOL DESCARTÁVEL C/ ELÁSTICO BRANCO GR LEVE 2,00X0,90 PCT/10 - DEJAMARO</x:v>
      </x:c>
      <x:c r="D299" s="22" t="str">
        <x:v>LENCOL DESCARTAVEL ELASTICO BRANCO GR LEVE</x:v>
      </x:c>
      <x:c r="E299" s="22" t="str">
        <x:v>LENCOL DESCARTAVEL ELASTICO</x:v>
      </x:c>
      <x:c r="F299" s="22" t="str"/>
      <x:c r="G299" s="22" t="str">
        <x:v>2,00X0,90</x:v>
      </x:c>
      <x:c r="H299" s="22" t="str">
        <x:v>PCT/10 | PCT | CONTEUDO10 | FATOR10</x:v>
      </x:c>
      <x:c r="I299" s="22" t="str">
        <x:v>OUTRA</x:v>
      </x:c>
      <x:c r="J299" s="22" t="str">
        <x:v>DEJAMARO</x:v>
      </x:c>
      <x:c r="K299" s="28" t="str">
        <x:f>"GTIN: 5900000009483"</x:f>
        <x:v>GTIN: 5900000009483</x:v>
      </x:c>
      <x:c r="L299" s="28" t="str">
        <x:f>"63079010"</x:f>
        <x:v>63079010</x:v>
      </x:c>
      <x:c r="M299" s="22" t="str">
        <x:v>UN</x:v>
      </x:c>
      <x:c r="N299" s="22" t="str">
        <x:v>PCT</x:v>
      </x:c>
      <x:c r="O299" s="22" t="n">
        <x:v>10</x:v>
      </x:c>
      <x:c r="P299" s="28" t="str">
        <x:f>"530"</x:f>
        <x:v>530</x:v>
      </x:c>
      <x:c r="Q299" s="28" t="str">
        <x:f>"LDC0001"</x:f>
        <x:v>LDC0001</x:v>
      </x:c>
    </x:row>
    <x:row r="300">
      <x:c r="A300" s="22" t="n">
        <x:v>296</x:v>
      </x:c>
      <x:c r="B300" s="28" t="str">
        <x:f>"L120002"</x:f>
        <x:v>L120002</x:v>
      </x:c>
      <x:c r="C300" s="22" t="str">
        <x:v>LIDOCAINA 1% 20ML SV CX/25 - CRISTÁLIA</x:v>
      </x:c>
      <x:c r="D300" s="22" t="str">
        <x:v>LIDOCAINA % SV</x:v>
      </x:c>
      <x:c r="E300" s="22" t="str">
        <x:v>LIDOCAINA SV</x:v>
      </x:c>
      <x:c r="F300" s="22" t="str">
        <x:v>20ML</x:v>
      </x:c>
      <x:c r="G300" s="22" t="str"/>
      <x:c r="H300" s="22" t="str">
        <x:v>CX/25 | CX25</x:v>
      </x:c>
      <x:c r="I300" s="22" t="str">
        <x:v>CAIXA</x:v>
      </x:c>
      <x:c r="J300" s="22" t="str">
        <x:v>CRISTÁLIA</x:v>
      </x:c>
      <x:c r="K300" s="28" t="str">
        <x:f>"GTIN: 07896676400649"</x:f>
        <x:v>GTIN: 07896676400649</x:v>
      </x:c>
      <x:c r="L300" s="28" t="str">
        <x:f>"30049043"</x:f>
        <x:v>30049043</x:v>
      </x:c>
      <x:c r="M300" s="22" t="str">
        <x:v>CX25</x:v>
      </x:c>
      <x:c r="N300" s="22" t="str">
        <x:v>CX25</x:v>
      </x:c>
      <x:c r="O300" s="22" t="n">
        <x:v>1</x:v>
      </x:c>
      <x:c r="P300" s="28" t="str">
        <x:f>"531"</x:f>
        <x:v>531</x:v>
      </x:c>
      <x:c r="Q300" s="28" t="str">
        <x:f>"L120002"</x:f>
        <x:v>L120002</x:v>
      </x:c>
    </x:row>
    <x:row r="301">
      <x:c r="A301" s="22" t="n">
        <x:v>297</x:v>
      </x:c>
      <x:c r="B301" s="28" t="str">
        <x:f>"L120001"</x:f>
        <x:v>L120001</x:v>
      </x:c>
      <x:c r="C301" s="22" t="str">
        <x:v>LIDOCAINA 1% 20ML SV CX/25 - HYPOFARMA</x:v>
      </x:c>
      <x:c r="D301" s="22" t="str">
        <x:v>LIDOCAINA % SV HYPOFARMA</x:v>
      </x:c>
      <x:c r="E301" s="22" t="str">
        <x:v>LIDOCAINA SV HYPOFARMA</x:v>
      </x:c>
      <x:c r="F301" s="22" t="str">
        <x:v>20ML</x:v>
      </x:c>
      <x:c r="G301" s="22" t="str"/>
      <x:c r="H301" s="22" t="str">
        <x:v>CX/25 | CX25</x:v>
      </x:c>
      <x:c r="I301" s="22" t="str">
        <x:v>CAIXA</x:v>
      </x:c>
      <x:c r="J301" s="22" t="str">
        <x:v>HYPOLABOR</x:v>
      </x:c>
      <x:c r="K301" s="28" t="str">
        <x:f>"GTIN: 07896676400649"</x:f>
        <x:v>GTIN: 07896676400649</x:v>
      </x:c>
      <x:c r="L301" s="28" t="str">
        <x:f>"30049043"</x:f>
        <x:v>30049043</x:v>
      </x:c>
      <x:c r="M301" s="22" t="str">
        <x:v>CX25</x:v>
      </x:c>
      <x:c r="N301" s="22" t="str">
        <x:v>CX25</x:v>
      </x:c>
      <x:c r="O301" s="22" t="n">
        <x:v>1</x:v>
      </x:c>
      <x:c r="P301" s="28" t="str">
        <x:f>"532 | 533"</x:f>
        <x:v>532 | 533</x:v>
      </x:c>
      <x:c r="Q301" s="28" t="str">
        <x:f>"L120001 | L120005"</x:f>
        <x:v>L120001 | L120005</x:v>
      </x:c>
    </x:row>
    <x:row r="302">
      <x:c r="A302" s="22" t="n">
        <x:v>298</x:v>
      </x:c>
      <x:c r="B302" s="28" t="str">
        <x:f>"L1(0003"</x:f>
        <x:v>L1(0003</x:v>
      </x:c>
      <x:c r="C302" s="22" t="str">
        <x:v>LIDOCAINA 10% (100MG/ML) SPRAY 50ML - CRISTALIA</x:v>
      </x:c>
      <x:c r="D302" s="22" t="str">
        <x:v>LIDOCAINA % SPRAY</x:v>
      </x:c>
      <x:c r="E302" s="22" t="str">
        <x:v>LIDOCAINA SPRAY</x:v>
      </x:c>
      <x:c r="F302" s="22" t="str">
        <x:v>100MG/ML | 100MG | 50ML</x:v>
      </x:c>
      <x:c r="G302" s="22" t="str"/>
      <x:c r="H302" s="22" t="str">
        <x:v>CX | CONTEUDO1</x:v>
      </x:c>
      <x:c r="I302" s="22" t="str">
        <x:v>CAIXA</x:v>
      </x:c>
      <x:c r="J302" s="22" t="str">
        <x:v>CRISTALIA</x:v>
      </x:c>
      <x:c r="K302" s="28" t="str">
        <x:f>"GTIN: 7898123908999"</x:f>
        <x:v>GTIN: 7898123908999</x:v>
      </x:c>
      <x:c r="L302" s="28" t="str">
        <x:f>"30049043"</x:f>
        <x:v>30049043</x:v>
      </x:c>
      <x:c r="M302" s="22" t="str">
        <x:v>UN</x:v>
      </x:c>
      <x:c r="N302" s="22" t="str">
        <x:v>CX</x:v>
      </x:c>
      <x:c r="O302" s="22" t="n">
        <x:v>1</x:v>
      </x:c>
      <x:c r="P302" s="28" t="str">
        <x:f>"534"</x:f>
        <x:v>534</x:v>
      </x:c>
      <x:c r="Q302" s="28" t="str">
        <x:f>"L1(0003"</x:f>
        <x:v>L1(0003</x:v>
      </x:c>
    </x:row>
    <x:row r="303">
      <x:c r="A303" s="22" t="n">
        <x:v>299</x:v>
      </x:c>
      <x:c r="B303" s="28" t="str">
        <x:f>"L1(0001"</x:f>
        <x:v>L1(0001</x:v>
      </x:c>
      <x:c r="C303" s="22" t="str">
        <x:v>LIDOCAINA 10% (100MG/ML) SPRAY 50ML - HIPOLABOR</x:v>
      </x:c>
      <x:c r="D303" s="22" t="str">
        <x:v>LIDOCAINA % SPRAY</x:v>
      </x:c>
      <x:c r="E303" s="22" t="str">
        <x:v>LIDOCAINA SPRAY</x:v>
      </x:c>
      <x:c r="F303" s="22" t="str">
        <x:v>100MG/ML | 100MG | 50ML</x:v>
      </x:c>
      <x:c r="G303" s="22" t="str"/>
      <x:c r="H303" s="22" t="str">
        <x:v>CX | CONTEUDO1</x:v>
      </x:c>
      <x:c r="I303" s="22" t="str">
        <x:v>CAIXA</x:v>
      </x:c>
      <x:c r="J303" s="22" t="str">
        <x:v>HIPOLABOR</x:v>
      </x:c>
      <x:c r="K303" s="28" t="str">
        <x:f>"GTIN: 7898123908999"</x:f>
        <x:v>GTIN: 7898123908999</x:v>
      </x:c>
      <x:c r="L303" s="28" t="str">
        <x:f>"30049043"</x:f>
        <x:v>30049043</x:v>
      </x:c>
      <x:c r="M303" s="22" t="str">
        <x:v>UN</x:v>
      </x:c>
      <x:c r="N303" s="22" t="str">
        <x:v>CX</x:v>
      </x:c>
      <x:c r="O303" s="22" t="n">
        <x:v>1</x:v>
      </x:c>
      <x:c r="P303" s="28" t="str">
        <x:f>"535 | 536 | 537"</x:f>
        <x:v>535 | 536 | 537</x:v>
      </x:c>
      <x:c r="Q303" s="28" t="str">
        <x:f>"L1(0001 | L220008 | L1(0002"</x:f>
        <x:v>L1(0001 | L220008 | L1(0002</x:v>
      </x:c>
    </x:row>
    <x:row r="304">
      <x:c r="A304" s="22" t="n">
        <x:v>300</x:v>
      </x:c>
      <x:c r="B304" s="28" t="str">
        <x:f>"L220025"</x:f>
        <x:v>L220025</x:v>
      </x:c>
      <x:c r="C304" s="22" t="str">
        <x:v>LIDOCAINA 2% 20MG/ML CV - CX/10 - CRISTALIA</x:v>
      </x:c>
      <x:c r="D304" s="22" t="str">
        <x:v>LIDOCAINA % CV</x:v>
      </x:c>
      <x:c r="E304" s="22" t="str">
        <x:v>LIDOCAINA CV</x:v>
      </x:c>
      <x:c r="F304" s="22" t="str">
        <x:v>20MG/ML | 20MG</x:v>
      </x:c>
      <x:c r="G304" s="22" t="str"/>
      <x:c r="H304" s="22" t="str">
        <x:v>CX/10 | CX | CONTEUDO10 | FATOR10</x:v>
      </x:c>
      <x:c r="I304" s="22" t="str">
        <x:v>CAIXA</x:v>
      </x:c>
      <x:c r="J304" s="22" t="str">
        <x:v>CRISTALIA</x:v>
      </x:c>
      <x:c r="K304" s="28" t="str">
        <x:f>"GTIN: 7896676400663"</x:f>
        <x:v>GTIN: 7896676400663</x:v>
      </x:c>
      <x:c r="L304" s="28" t="str">
        <x:f>"30049043"</x:f>
        <x:v>30049043</x:v>
      </x:c>
      <x:c r="M304" s="22" t="str">
        <x:v>UN</x:v>
      </x:c>
      <x:c r="N304" s="22" t="str">
        <x:v>CX</x:v>
      </x:c>
      <x:c r="O304" s="22" t="n">
        <x:v>10</x:v>
      </x:c>
      <x:c r="P304" s="28" t="str">
        <x:f>"538 | 539"</x:f>
        <x:v>538 | 539</x:v>
      </x:c>
      <x:c r="Q304" s="28" t="str">
        <x:f>"L220025 | L220027"</x:f>
        <x:v>L220025 | L220027</x:v>
      </x:c>
    </x:row>
    <x:row r="305">
      <x:c r="A305" s="22" t="n">
        <x:v>301</x:v>
      </x:c>
      <x:c r="B305" s="28" t="str">
        <x:f>"L220022"</x:f>
        <x:v>L220022</x:v>
      </x:c>
      <x:c r="C305" s="22" t="str">
        <x:v>LIDOCAINA 2% 20MG/ML SV - CX/10 - CRISTALIA</x:v>
      </x:c>
      <x:c r="D305" s="22" t="str">
        <x:v>LIDOCAINA % SV</x:v>
      </x:c>
      <x:c r="E305" s="22" t="str">
        <x:v>LIDOCAINA SV</x:v>
      </x:c>
      <x:c r="F305" s="22" t="str">
        <x:v>20MG/ML | 20MG</x:v>
      </x:c>
      <x:c r="G305" s="22" t="str"/>
      <x:c r="H305" s="22" t="str">
        <x:v>CX/10 | CX | CONTEUDO10 | FATOR10</x:v>
      </x:c>
      <x:c r="I305" s="22" t="str">
        <x:v>CAIXA</x:v>
      </x:c>
      <x:c r="J305" s="22" t="str">
        <x:v>CRISTALIA</x:v>
      </x:c>
      <x:c r="K305" s="28" t="str">
        <x:f>"GTIN: 7896676400663"</x:f>
        <x:v>GTIN: 7896676400663</x:v>
      </x:c>
      <x:c r="L305" s="28" t="str">
        <x:f>"30049043"</x:f>
        <x:v>30049043</x:v>
      </x:c>
      <x:c r="M305" s="22" t="str">
        <x:v>UN</x:v>
      </x:c>
      <x:c r="N305" s="22" t="str">
        <x:v>CX</x:v>
      </x:c>
      <x:c r="O305" s="22" t="n">
        <x:v>10</x:v>
      </x:c>
      <x:c r="P305" s="28" t="str">
        <x:f>"540 | 541 | 542 | 543 | 544 | 545"</x:f>
        <x:v>540 | 541 | 542 | 543 | 544 | 545</x:v>
      </x:c>
      <x:c r="Q305" s="28" t="str">
        <x:f>"L220022 | L220023 | L220024 | L220026 | L220002 | L220001"</x:f>
        <x:v>L220022 | L220023 | L220024 | L220026 | L220002 | L220001</x:v>
      </x:c>
    </x:row>
    <x:row r="306">
      <x:c r="A306" s="22" t="n">
        <x:v>302</x:v>
      </x:c>
      <x:c r="B306" s="28" t="str">
        <x:f>"L220029"</x:f>
        <x:v>L220029</x:v>
      </x:c>
      <x:c r="C306" s="22" t="str">
        <x:v>LIDOCAINA 2% 20MG/ML SV - CX/25 - HIPOLABOR</x:v>
      </x:c>
      <x:c r="D306" s="22" t="str">
        <x:v>LIDOCAINA % SV</x:v>
      </x:c>
      <x:c r="E306" s="22" t="str">
        <x:v>LIDOCAINA SV</x:v>
      </x:c>
      <x:c r="F306" s="22" t="str">
        <x:v>20MG/ML | 20MG</x:v>
      </x:c>
      <x:c r="G306" s="22" t="str"/>
      <x:c r="H306" s="22" t="str">
        <x:v>CX/25 | CX | CONTEUDO25 | FATOR25</x:v>
      </x:c>
      <x:c r="I306" s="22" t="str">
        <x:v>CAIXA</x:v>
      </x:c>
      <x:c r="J306" s="22" t="str">
        <x:v>HIPOLABOR</x:v>
      </x:c>
      <x:c r="K306" s="28" t="str">
        <x:f>"GTIN: 7896676400663"</x:f>
        <x:v>GTIN: 7896676400663</x:v>
      </x:c>
      <x:c r="L306" s="28" t="str">
        <x:f>"30049043"</x:f>
        <x:v>30049043</x:v>
      </x:c>
      <x:c r="M306" s="22" t="str">
        <x:v>UN</x:v>
      </x:c>
      <x:c r="N306" s="22" t="str">
        <x:v>CX</x:v>
      </x:c>
      <x:c r="O306" s="22" t="n">
        <x:v>25</x:v>
      </x:c>
      <x:c r="P306" s="28" t="str">
        <x:f>"546 | 547 | 548"</x:f>
        <x:v>546 | 547 | 548</x:v>
      </x:c>
      <x:c r="Q306" s="28" t="str">
        <x:f>"L220029 | L220032 | L220003"</x:f>
        <x:v>L220029 | L220032 | L220003</x:v>
      </x:c>
    </x:row>
    <x:row r="307">
      <x:c r="A307" s="22" t="n">
        <x:v>303</x:v>
      </x:c>
      <x:c r="B307" s="28" t="str">
        <x:f>"LLB0003"</x:f>
        <x:v>LLB0003</x:v>
      </x:c>
      <x:c r="C307" s="22" t="str">
        <x:v>LINEZOLIDA LIZBI BOLSA 2MG/ML 0,2% CX/10 - HALEXISTAR</x:v>
      </x:c>
      <x:c r="D307" s="22" t="str">
        <x:v>LINEZOLIDA LIZBI %</x:v>
      </x:c>
      <x:c r="E307" s="22" t="str">
        <x:v>LINEZOLIDA LIZBI</x:v>
      </x:c>
      <x:c r="F307" s="22" t="str">
        <x:v>2MG/ML | 2MG</x:v>
      </x:c>
      <x:c r="G307" s="22" t="str"/>
      <x:c r="H307" s="22" t="str">
        <x:v>BOLSA | CX/10</x:v>
      </x:c>
      <x:c r="I307" s="22" t="str">
        <x:v>BOLSA</x:v>
      </x:c>
      <x:c r="J307" s="22" t="str">
        <x:v>HALEXISTAR</x:v>
      </x:c>
      <x:c r="K307" s="28" t="str"/>
      <x:c r="L307" s="28" t="str">
        <x:f>"30049099"</x:f>
        <x:v>30049099</x:v>
      </x:c>
      <x:c r="M307" s="22" t="str">
        <x:v>BOLSA</x:v>
      </x:c>
      <x:c r="N307" s="22" t="str">
        <x:v>BOLSA</x:v>
      </x:c>
      <x:c r="O307" s="22" t="n">
        <x:v>1</x:v>
      </x:c>
      <x:c r="P307" s="28" t="str">
        <x:f>"549 | 550 | 551 | 552"</x:f>
        <x:v>549 | 550 | 551 | 552</x:v>
      </x:c>
      <x:c r="Q307" s="28" t="str">
        <x:f>"LLB0001 | LLB0004 | LLB0002 | LLB0003"</x:f>
        <x:v>LLB0001 | LLB0004 | LLB0002 | LLB0003</x:v>
      </x:c>
    </x:row>
    <x:row r="308">
      <x:c r="A308" s="22" t="n">
        <x:v>304</x:v>
      </x:c>
      <x:c r="B308" s="28" t="str">
        <x:f>"LPA0001"</x:f>
        <x:v>LPA0001</x:v>
      </x:c>
      <x:c r="C308" s="22" t="str">
        <x:v>LOSARTANA POTASSICA 50MG - CX/450 - 1C/15CP - GEOLAB - (ARARTAN)</x:v>
      </x:c>
      <x:c r="D308" s="22" t="str">
        <x:v>LOSARTANA POTASSICA 1C 15CP</x:v>
      </x:c>
      <x:c r="E308" s="22" t="str">
        <x:v>LOSARTANA POTASSICA 1C</x:v>
      </x:c>
      <x:c r="F308" s="22" t="str">
        <x:v>50MG</x:v>
      </x:c>
      <x:c r="G308" s="22" t="str"/>
      <x:c r="H308" s="22" t="str">
        <x:v>CX/450 | 1C/15C</x:v>
      </x:c>
      <x:c r="I308" s="22" t="str">
        <x:v>OUTRA</x:v>
      </x:c>
      <x:c r="J308" s="22" t="str">
        <x:v>GEOLAB</x:v>
      </x:c>
      <x:c r="K308" s="28" t="str">
        <x:f>"GTIN: 7899095246546"</x:f>
        <x:v>GTIN: 7899095246546</x:v>
      </x:c>
      <x:c r="L308" s="28" t="str">
        <x:f>"30049021"</x:f>
        <x:v>30049021</x:v>
      </x:c>
      <x:c r="M308" s="22" t="str">
        <x:v>1C/15C</x:v>
      </x:c>
      <x:c r="N308" s="22" t="str">
        <x:v>1C/15C</x:v>
      </x:c>
      <x:c r="O308" s="22" t="n">
        <x:v>1</x:v>
      </x:c>
      <x:c r="P308" s="28" t="str">
        <x:f>"553"</x:f>
        <x:v>553</x:v>
      </x:c>
      <x:c r="Q308" s="28" t="str">
        <x:f>"LPA0001"</x:f>
        <x:v>LPA0001</x:v>
      </x:c>
    </x:row>
    <x:row r="309">
      <x:c r="A309" s="22" t="n">
        <x:v>305</x:v>
      </x:c>
      <x:c r="B309" s="28" t="str">
        <x:f>"LCT0002"</x:f>
        <x:v>LCT0002</x:v>
      </x:c>
      <x:c r="C309" s="22" t="str">
        <x:v>LUVA CIR LATEX C/ PO TAM. 7.5 ESTÉRIL - MEDIX</x:v>
      </x:c>
      <x:c r="D309" s="22" t="str">
        <x:v>LUVA CIR LATEX PO TAM ESTERIL</x:v>
      </x:c>
      <x:c r="E309" s="22" t="str">
        <x:v>LUVA CIR LATEX</x:v>
      </x:c>
      <x:c r="F309" s="22" t="str"/>
      <x:c r="G309" s="22" t="str"/>
      <x:c r="H309" s="22" t="str">
        <x:v>1PAR</x:v>
      </x:c>
      <x:c r="I309" s="22" t="str">
        <x:v>OUTRA</x:v>
      </x:c>
      <x:c r="J309" s="22" t="str">
        <x:v>MEDIX</x:v>
      </x:c>
      <x:c r="K309" s="28" t="str">
        <x:f>"GTIN: 7898945443135"</x:f>
        <x:v>GTIN: 7898945443135</x:v>
      </x:c>
      <x:c r="L309" s="28" t="str">
        <x:f>"40151200"</x:f>
        <x:v>40151200</x:v>
      </x:c>
      <x:c r="M309" s="22" t="str">
        <x:v>1PAR</x:v>
      </x:c>
      <x:c r="N309" s="22" t="str">
        <x:v>1PAR</x:v>
      </x:c>
      <x:c r="O309" s="22" t="n">
        <x:v>1</x:v>
      </x:c>
      <x:c r="P309" s="28" t="str">
        <x:f>"554"</x:f>
        <x:v>554</x:v>
      </x:c>
      <x:c r="Q309" s="28" t="str">
        <x:f>"LCT0002"</x:f>
        <x:v>LCT0002</x:v>
      </x:c>
    </x:row>
    <x:row r="310">
      <x:c r="A310" s="22" t="n">
        <x:v>306</x:v>
      </x:c>
      <x:c r="B310" s="28" t="str">
        <x:f>"LCL0001"</x:f>
        <x:v>LCL0001</x:v>
      </x:c>
      <x:c r="C310" s="22" t="str">
        <x:v>LUVA CIR LATEX C/ PO TAM. 8.0 ESTÉRIL - DESCARPACK</x:v>
      </x:c>
      <x:c r="D310" s="22" t="str">
        <x:v>LUVA CIR LATEX PO TAM ESTERIL</x:v>
      </x:c>
      <x:c r="E310" s="22" t="str">
        <x:v>LUVA CIR LATEX</x:v>
      </x:c>
      <x:c r="F310" s="22" t="str"/>
      <x:c r="G310" s="22" t="str"/>
      <x:c r="H310" s="22" t="str">
        <x:v>1PAR</x:v>
      </x:c>
      <x:c r="I310" s="22" t="str">
        <x:v>OUTRA</x:v>
      </x:c>
      <x:c r="J310" s="22" t="str">
        <x:v>DESCARPACK</x:v>
      </x:c>
      <x:c r="K310" s="28" t="str">
        <x:f>"GTIN: 7898945443142"</x:f>
        <x:v>GTIN: 7898945443142</x:v>
      </x:c>
      <x:c r="L310" s="28" t="str">
        <x:f>"40151200"</x:f>
        <x:v>40151200</x:v>
      </x:c>
      <x:c r="M310" s="22" t="str">
        <x:v>1PAR</x:v>
      </x:c>
      <x:c r="N310" s="22" t="str">
        <x:v>1PAR</x:v>
      </x:c>
      <x:c r="O310" s="22" t="n">
        <x:v>1</x:v>
      </x:c>
      <x:c r="P310" s="28" t="str">
        <x:f>"555"</x:f>
        <x:v>555</x:v>
      </x:c>
      <x:c r="Q310" s="28" t="str">
        <x:f>"LCL0001"</x:f>
        <x:v>LCL0001</x:v>
      </x:c>
    </x:row>
    <x:row r="311">
      <x:c r="A311" s="22" t="n">
        <x:v>307</x:v>
      </x:c>
      <x:c r="B311" s="28" t="str">
        <x:f>"LCT0001"</x:f>
        <x:v>LCT0001</x:v>
      </x:c>
      <x:c r="C311" s="22" t="str">
        <x:v>LUVA CIR TAM 7 1/2 ESTÉRIL SENSICARE BECARE 1 PAR - TIANCHANG MEDICAL</x:v>
      </x:c>
      <x:c r="D311" s="22" t="str">
        <x:v>LUVA CIR TAM ESTERIL SENSICARE BECARE</x:v>
      </x:c>
      <x:c r="E311" s="22" t="str">
        <x:v>LUVA CIR TAM</x:v>
      </x:c>
      <x:c r="F311" s="22" t="str"/>
      <x:c r="G311" s="22" t="str">
        <x:v>TAM7</x:v>
      </x:c>
      <x:c r="H311" s="22" t="str">
        <x:v>PAR | 1PAR</x:v>
      </x:c>
      <x:c r="I311" s="22" t="str">
        <x:v>OUTRA</x:v>
      </x:c>
      <x:c r="J311" s="22" t="str">
        <x:v>TIANCHANG MEDICAL</x:v>
      </x:c>
      <x:c r="K311" s="28" t="str"/>
      <x:c r="L311" s="28" t="str">
        <x:f>"40151200"</x:f>
        <x:v>40151200</x:v>
      </x:c>
      <x:c r="M311" s="22" t="str">
        <x:v>1PAR</x:v>
      </x:c>
      <x:c r="N311" s="22" t="str">
        <x:v>1PAR</x:v>
      </x:c>
      <x:c r="O311" s="22" t="n">
        <x:v>1</x:v>
      </x:c>
      <x:c r="P311" s="28" t="str">
        <x:f>"556"</x:f>
        <x:v>556</x:v>
      </x:c>
      <x:c r="Q311" s="28" t="str">
        <x:f>"LCT0001"</x:f>
        <x:v>LCT0001</x:v>
      </x:c>
    </x:row>
    <x:row r="312">
      <x:c r="A312" s="22" t="n">
        <x:v>308</x:v>
      </x:c>
      <x:c r="B312" s="28" t="str">
        <x:f>"LPE0006"</x:f>
        <x:v>LPE0006</x:v>
      </x:c>
      <x:c r="C312" s="22" t="str">
        <x:v>LUVA DE PROCEDIMENTO EM LATEX G COM PÓ - CX/100 - ABL</x:v>
      </x:c>
      <x:c r="D312" s="22" t="str">
        <x:v>LUVA PROCEDIMENTO EM LATEX G COM PO</x:v>
      </x:c>
      <x:c r="E312" s="22" t="str">
        <x:v>LUVA PROCEDIMENTO EM</x:v>
      </x:c>
      <x:c r="F312" s="22" t="str"/>
      <x:c r="G312" s="22" t="str"/>
      <x:c r="H312" s="22" t="str">
        <x:v>CX/100 | CX | CONTEUDO100 | FATOR100</x:v>
      </x:c>
      <x:c r="I312" s="22" t="str">
        <x:v>CAIXA</x:v>
      </x:c>
      <x:c r="J312" s="22" t="str">
        <x:v>ABL</x:v>
      </x:c>
      <x:c r="K312" s="28" t="str">
        <x:f>"GTIN: 7898283814680"</x:f>
        <x:v>GTIN: 7898283814680</x:v>
      </x:c>
      <x:c r="L312" s="28" t="str">
        <x:f>"62160000"</x:f>
        <x:v>62160000</x:v>
      </x:c>
      <x:c r="M312" s="22" t="str">
        <x:v>UN</x:v>
      </x:c>
      <x:c r="N312" s="22" t="str">
        <x:v>CX</x:v>
      </x:c>
      <x:c r="O312" s="22" t="n">
        <x:v>100</x:v>
      </x:c>
      <x:c r="P312" s="28" t="str">
        <x:f>"557"</x:f>
        <x:v>557</x:v>
      </x:c>
      <x:c r="Q312" s="28" t="str">
        <x:f>"LPE0006"</x:f>
        <x:v>LPE0006</x:v>
      </x:c>
    </x:row>
    <x:row r="313">
      <x:c r="A313" s="22" t="n">
        <x:v>309</x:v>
      </x:c>
      <x:c r="B313" s="28" t="str">
        <x:f>"LPE0003"</x:f>
        <x:v>LPE0003</x:v>
      </x:c>
      <x:c r="C313" s="22" t="str">
        <x:v>LUVA DE PROCEDIMENTO EM LATEX G COM PÓ - CX/100 - DESCARPACK</x:v>
      </x:c>
      <x:c r="D313" s="22" t="str">
        <x:v>LUVA PROCEDIMENTO EM LATEX G COM PO</x:v>
      </x:c>
      <x:c r="E313" s="22" t="str">
        <x:v>LUVA PROCEDIMENTO EM</x:v>
      </x:c>
      <x:c r="F313" s="22" t="str"/>
      <x:c r="G313" s="22" t="str"/>
      <x:c r="H313" s="22" t="str">
        <x:v>CX/100 | CX | CONTEUDO100 | FATOR100</x:v>
      </x:c>
      <x:c r="I313" s="22" t="str">
        <x:v>CAIXA</x:v>
      </x:c>
      <x:c r="J313" s="22" t="str">
        <x:v>DESCARPACK</x:v>
      </x:c>
      <x:c r="K313" s="28" t="str">
        <x:f>"GTIN: 7898283814680"</x:f>
        <x:v>GTIN: 7898283814680</x:v>
      </x:c>
      <x:c r="L313" s="28" t="str">
        <x:f>"62160000"</x:f>
        <x:v>62160000</x:v>
      </x:c>
      <x:c r="M313" s="22" t="str">
        <x:v>UN</x:v>
      </x:c>
      <x:c r="N313" s="22" t="str">
        <x:v>CX</x:v>
      </x:c>
      <x:c r="O313" s="22" t="n">
        <x:v>100</x:v>
      </x:c>
      <x:c r="P313" s="28" t="str">
        <x:f>"558"</x:f>
        <x:v>558</x:v>
      </x:c>
      <x:c r="Q313" s="28" t="str">
        <x:f>"LPE0003"</x:f>
        <x:v>LPE0003</x:v>
      </x:c>
    </x:row>
    <x:row r="314">
      <x:c r="A314" s="22" t="n">
        <x:v>310</x:v>
      </x:c>
      <x:c r="B314" s="28" t="str">
        <x:f>"LPE0008"</x:f>
        <x:v>LPE0008</x:v>
      </x:c>
      <x:c r="C314" s="22" t="str">
        <x:v>LUVA DE PROCEDIMENTO EM LATEX G COM PÓ - CX/100 - MEDIX</x:v>
      </x:c>
      <x:c r="D314" s="22" t="str">
        <x:v>LUVA PROCEDIMENTO EM LATEX G COM PO</x:v>
      </x:c>
      <x:c r="E314" s="22" t="str">
        <x:v>LUVA PROCEDIMENTO EM</x:v>
      </x:c>
      <x:c r="F314" s="22" t="str"/>
      <x:c r="G314" s="22" t="str"/>
      <x:c r="H314" s="22" t="str">
        <x:v>CX/100 | CX | CONTEUDO100 | FATOR100</x:v>
      </x:c>
      <x:c r="I314" s="22" t="str">
        <x:v>CAIXA</x:v>
      </x:c>
      <x:c r="J314" s="22" t="str">
        <x:v>MEDIX</x:v>
      </x:c>
      <x:c r="K314" s="28" t="str">
        <x:f>"GTIN: 7898283814680"</x:f>
        <x:v>GTIN: 7898283814680</x:v>
      </x:c>
      <x:c r="L314" s="28" t="str">
        <x:f>"62160000"</x:f>
        <x:v>62160000</x:v>
      </x:c>
      <x:c r="M314" s="22" t="str">
        <x:v>UN</x:v>
      </x:c>
      <x:c r="N314" s="22" t="str">
        <x:v>CX</x:v>
      </x:c>
      <x:c r="O314" s="22" t="n">
        <x:v>100</x:v>
      </x:c>
      <x:c r="P314" s="28" t="str">
        <x:f>"559"</x:f>
        <x:v>559</x:v>
      </x:c>
      <x:c r="Q314" s="28" t="str">
        <x:f>"LPE0008"</x:f>
        <x:v>LPE0008</x:v>
      </x:c>
    </x:row>
    <x:row r="315">
      <x:c r="A315" s="22" t="n">
        <x:v>311</x:v>
      </x:c>
      <x:c r="B315" s="28" t="str">
        <x:f>"LPE0004"</x:f>
        <x:v>LPE0004</x:v>
      </x:c>
      <x:c r="C315" s="22" t="str">
        <x:v>LUVA DE PROCEDIMENTO EM LATEX G COM PÓ - CX/100 - PROCED</x:v>
      </x:c>
      <x:c r="D315" s="22" t="str">
        <x:v>LUVA PROCEDIMENTO EM LATEX G COM PO</x:v>
      </x:c>
      <x:c r="E315" s="22" t="str">
        <x:v>LUVA PROCEDIMENTO EM</x:v>
      </x:c>
      <x:c r="F315" s="22" t="str"/>
      <x:c r="G315" s="22" t="str"/>
      <x:c r="H315" s="22" t="str">
        <x:v>CX/100 | CX | CONTEUDO100 | FATOR100</x:v>
      </x:c>
      <x:c r="I315" s="22" t="str">
        <x:v>CAIXA</x:v>
      </x:c>
      <x:c r="J315" s="22" t="str">
        <x:v>PROCED</x:v>
      </x:c>
      <x:c r="K315" s="28" t="str">
        <x:f>"GTIN: 7898283814680"</x:f>
        <x:v>GTIN: 7898283814680</x:v>
      </x:c>
      <x:c r="L315" s="28" t="str">
        <x:f>"62160000"</x:f>
        <x:v>62160000</x:v>
      </x:c>
      <x:c r="M315" s="22" t="str">
        <x:v>UN</x:v>
      </x:c>
      <x:c r="N315" s="22" t="str">
        <x:v>CX</x:v>
      </x:c>
      <x:c r="O315" s="22" t="n">
        <x:v>100</x:v>
      </x:c>
      <x:c r="P315" s="28" t="str">
        <x:f>"560"</x:f>
        <x:v>560</x:v>
      </x:c>
      <x:c r="Q315" s="28" t="str">
        <x:f>"LPE0004"</x:f>
        <x:v>LPE0004</x:v>
      </x:c>
    </x:row>
    <x:row r="316">
      <x:c r="A316" s="22" t="n">
        <x:v>312</x:v>
      </x:c>
      <x:c r="B316" s="28" t="str">
        <x:f>"LPE0012"</x:f>
        <x:v>LPE0012</x:v>
      </x:c>
      <x:c r="C316" s="22" t="str">
        <x:v>LUVA DE PROCEDIMENTO EM LATEX M COM PÓ - CX/100 - ABL</x:v>
      </x:c>
      <x:c r="D316" s="22" t="str">
        <x:v>LUVA PROCEDIMENTO EM LATEX M COM PO</x:v>
      </x:c>
      <x:c r="E316" s="22" t="str">
        <x:v>LUVA PROCEDIMENTO EM</x:v>
      </x:c>
      <x:c r="F316" s="22" t="str"/>
      <x:c r="G316" s="22" t="str"/>
      <x:c r="H316" s="22" t="str">
        <x:v>CX/100 | CX | CONTEUDO100 | FATOR100</x:v>
      </x:c>
      <x:c r="I316" s="22" t="str">
        <x:v>CAIXA</x:v>
      </x:c>
      <x:c r="J316" s="22" t="str">
        <x:v>ABL</x:v>
      </x:c>
      <x:c r="K316" s="28" t="str">
        <x:f>"GTIN: 7898283814680"</x:f>
        <x:v>GTIN: 7898283814680</x:v>
      </x:c>
      <x:c r="L316" s="28" t="str">
        <x:f>"62160000"</x:f>
        <x:v>62160000</x:v>
      </x:c>
      <x:c r="M316" s="22" t="str">
        <x:v>UN</x:v>
      </x:c>
      <x:c r="N316" s="22" t="str">
        <x:v>CX</x:v>
      </x:c>
      <x:c r="O316" s="22" t="n">
        <x:v>100</x:v>
      </x:c>
      <x:c r="P316" s="28" t="str">
        <x:f>"561"</x:f>
        <x:v>561</x:v>
      </x:c>
      <x:c r="Q316" s="28" t="str">
        <x:f>"LPE0012"</x:f>
        <x:v>LPE0012</x:v>
      </x:c>
    </x:row>
    <x:row r="317">
      <x:c r="A317" s="22" t="n">
        <x:v>313</x:v>
      </x:c>
      <x:c r="B317" s="28" t="str">
        <x:f>"LPE0002"</x:f>
        <x:v>LPE0002</x:v>
      </x:c>
      <x:c r="C317" s="22" t="str">
        <x:v>LUVA DE PROCEDIMENTO EM LATEX M COM PÓ - CX/100 - DESCARPACK</x:v>
      </x:c>
      <x:c r="D317" s="22" t="str">
        <x:v>LUVA PROCEDIMENTO EM LATEX M COM PO</x:v>
      </x:c>
      <x:c r="E317" s="22" t="str">
        <x:v>LUVA PROCEDIMENTO EM</x:v>
      </x:c>
      <x:c r="F317" s="22" t="str"/>
      <x:c r="G317" s="22" t="str"/>
      <x:c r="H317" s="22" t="str">
        <x:v>CX/100 | CX | CONTEUDO100 | FATOR100</x:v>
      </x:c>
      <x:c r="I317" s="22" t="str">
        <x:v>CAIXA</x:v>
      </x:c>
      <x:c r="J317" s="22" t="str">
        <x:v>DESCARPACK</x:v>
      </x:c>
      <x:c r="K317" s="28" t="str">
        <x:f>"GTIN: 7898283814680"</x:f>
        <x:v>GTIN: 7898283814680</x:v>
      </x:c>
      <x:c r="L317" s="28" t="str">
        <x:f>"62160000"</x:f>
        <x:v>62160000</x:v>
      </x:c>
      <x:c r="M317" s="22" t="str">
        <x:v>UN</x:v>
      </x:c>
      <x:c r="N317" s="22" t="str">
        <x:v>CX</x:v>
      </x:c>
      <x:c r="O317" s="22" t="n">
        <x:v>100</x:v>
      </x:c>
      <x:c r="P317" s="28" t="str">
        <x:f>"562"</x:f>
        <x:v>562</x:v>
      </x:c>
      <x:c r="Q317" s="28" t="str">
        <x:f>"LPE0002"</x:f>
        <x:v>LPE0002</x:v>
      </x:c>
    </x:row>
    <x:row r="318">
      <x:c r="A318" s="22" t="n">
        <x:v>314</x:v>
      </x:c>
      <x:c r="B318" s="28" t="str">
        <x:f>"LPE0001"</x:f>
        <x:v>LPE0001</x:v>
      </x:c>
      <x:c r="C318" s="22" t="str">
        <x:v>LUVA DE PROCEDIMENTO EM LATEX M COM PÓ - CX/100 - GLOMED</x:v>
      </x:c>
      <x:c r="D318" s="22" t="str">
        <x:v>LUVA PROCEDIMENTO EM LATEX M COM PO</x:v>
      </x:c>
      <x:c r="E318" s="22" t="str">
        <x:v>LUVA PROCEDIMENTO EM</x:v>
      </x:c>
      <x:c r="F318" s="22" t="str"/>
      <x:c r="G318" s="22" t="str"/>
      <x:c r="H318" s="22" t="str">
        <x:v>CX/100 | CX | CONTEUDO100 | FATOR100</x:v>
      </x:c>
      <x:c r="I318" s="22" t="str">
        <x:v>CAIXA</x:v>
      </x:c>
      <x:c r="J318" s="22" t="str">
        <x:v>GLOMED</x:v>
      </x:c>
      <x:c r="K318" s="28" t="str">
        <x:f>"GTIN: 7898283814680"</x:f>
        <x:v>GTIN: 7898283814680</x:v>
      </x:c>
      <x:c r="L318" s="28" t="str">
        <x:f>"62160000"</x:f>
        <x:v>62160000</x:v>
      </x:c>
      <x:c r="M318" s="22" t="str">
        <x:v>UN</x:v>
      </x:c>
      <x:c r="N318" s="22" t="str">
        <x:v>CX</x:v>
      </x:c>
      <x:c r="O318" s="22" t="n">
        <x:v>100</x:v>
      </x:c>
      <x:c r="P318" s="28" t="str">
        <x:f>"563"</x:f>
        <x:v>563</x:v>
      </x:c>
      <x:c r="Q318" s="28" t="str">
        <x:f>"LPE0001"</x:f>
        <x:v>LPE0001</x:v>
      </x:c>
    </x:row>
    <x:row r="319">
      <x:c r="A319" s="22" t="n">
        <x:v>315</x:v>
      </x:c>
      <x:c r="B319" s="28" t="str">
        <x:f>"LPE0010"</x:f>
        <x:v>LPE0010</x:v>
      </x:c>
      <x:c r="C319" s="22" t="str">
        <x:v>LUVA DE PROCEDIMENTO EM LATEX M COM PÓ - CX/100 - LATEX BR</x:v>
      </x:c>
      <x:c r="D319" s="22" t="str">
        <x:v>LUVA PROCEDIMENTO EM LATEX M COM PO</x:v>
      </x:c>
      <x:c r="E319" s="22" t="str">
        <x:v>LUVA PROCEDIMENTO EM</x:v>
      </x:c>
      <x:c r="F319" s="22" t="str"/>
      <x:c r="G319" s="22" t="str"/>
      <x:c r="H319" s="22" t="str">
        <x:v>CX/100 | CX | CONTEUDO100 | FATOR100</x:v>
      </x:c>
      <x:c r="I319" s="22" t="str">
        <x:v>CAIXA</x:v>
      </x:c>
      <x:c r="J319" s="22" t="str">
        <x:v>LATEX BR</x:v>
      </x:c>
      <x:c r="K319" s="28" t="str"/>
      <x:c r="L319" s="28" t="str">
        <x:f>"62160000"</x:f>
        <x:v>62160000</x:v>
      </x:c>
      <x:c r="M319" s="22" t="str">
        <x:v>UN</x:v>
      </x:c>
      <x:c r="N319" s="22" t="str">
        <x:v>CX</x:v>
      </x:c>
      <x:c r="O319" s="22" t="n">
        <x:v>100</x:v>
      </x:c>
      <x:c r="P319" s="28" t="str">
        <x:f>"564"</x:f>
        <x:v>564</x:v>
      </x:c>
      <x:c r="Q319" s="28" t="str">
        <x:f>"LPE0010"</x:f>
        <x:v>LPE0010</x:v>
      </x:c>
    </x:row>
    <x:row r="320">
      <x:c r="A320" s="22" t="n">
        <x:v>316</x:v>
      </x:c>
      <x:c r="B320" s="28" t="str">
        <x:f>"LPE0009"</x:f>
        <x:v>LPE0009</x:v>
      </x:c>
      <x:c r="C320" s="22" t="str">
        <x:v>LUVA DE PROCEDIMENTO EM LATEX M COM PÓ - CX/100 - MEDIX</x:v>
      </x:c>
      <x:c r="D320" s="22" t="str">
        <x:v>LUVA PROCEDIMENTO EM LATEX M COM PO</x:v>
      </x:c>
      <x:c r="E320" s="22" t="str">
        <x:v>LUVA PROCEDIMENTO EM</x:v>
      </x:c>
      <x:c r="F320" s="22" t="str"/>
      <x:c r="G320" s="22" t="str"/>
      <x:c r="H320" s="22" t="str">
        <x:v>CX/100 | CX | CONTEUDO100 | FATOR100</x:v>
      </x:c>
      <x:c r="I320" s="22" t="str">
        <x:v>CAIXA</x:v>
      </x:c>
      <x:c r="J320" s="22" t="str">
        <x:v>MEDIX</x:v>
      </x:c>
      <x:c r="K320" s="28" t="str">
        <x:f>"GTIN: 7898283814680"</x:f>
        <x:v>GTIN: 7898283814680</x:v>
      </x:c>
      <x:c r="L320" s="28" t="str">
        <x:f>"62160000"</x:f>
        <x:v>62160000</x:v>
      </x:c>
      <x:c r="M320" s="22" t="str">
        <x:v>UN</x:v>
      </x:c>
      <x:c r="N320" s="22" t="str">
        <x:v>CX</x:v>
      </x:c>
      <x:c r="O320" s="22" t="n">
        <x:v>100</x:v>
      </x:c>
      <x:c r="P320" s="28" t="str">
        <x:f>"565 | 566"</x:f>
        <x:v>565 | 566</x:v>
      </x:c>
      <x:c r="Q320" s="28" t="str">
        <x:f>"LPE0009 | LPE0013"</x:f>
        <x:v>LPE0009 | LPE0013</x:v>
      </x:c>
    </x:row>
    <x:row r="321">
      <x:c r="A321" s="22" t="n">
        <x:v>317</x:v>
      </x:c>
      <x:c r="B321" s="28" t="str">
        <x:f>"LPE0005"</x:f>
        <x:v>LPE0005</x:v>
      </x:c>
      <x:c r="C321" s="22" t="str">
        <x:v>LUVA DE PROCEDIMENTO EM LATEX P COM PÓ - CX/100 - MEDIX</x:v>
      </x:c>
      <x:c r="D321" s="22" t="str">
        <x:v>LUVA PROCEDIMENTO EM LATEX P COM PO</x:v>
      </x:c>
      <x:c r="E321" s="22" t="str">
        <x:v>LUVA PROCEDIMENTO EM</x:v>
      </x:c>
      <x:c r="F321" s="22" t="str"/>
      <x:c r="G321" s="22" t="str"/>
      <x:c r="H321" s="22" t="str">
        <x:v>CX/100 | CX | CONTEUDO100 | FATOR100</x:v>
      </x:c>
      <x:c r="I321" s="22" t="str">
        <x:v>CAIXA</x:v>
      </x:c>
      <x:c r="J321" s="22" t="str">
        <x:v>MEDIX</x:v>
      </x:c>
      <x:c r="K321" s="28" t="str">
        <x:f>"GTIN: 7898947170022"</x:f>
        <x:v>GTIN: 7898947170022</x:v>
      </x:c>
      <x:c r="L321" s="28" t="str">
        <x:f>"62160000"</x:f>
        <x:v>62160000</x:v>
      </x:c>
      <x:c r="M321" s="22" t="str">
        <x:v>UN</x:v>
      </x:c>
      <x:c r="N321" s="22" t="str">
        <x:v>CX</x:v>
      </x:c>
      <x:c r="O321" s="22" t="n">
        <x:v>100</x:v>
      </x:c>
      <x:c r="P321" s="28" t="str">
        <x:f>"567"</x:f>
        <x:v>567</x:v>
      </x:c>
      <x:c r="Q321" s="28" t="str">
        <x:f>"LPE0005"</x:f>
        <x:v>LPE0005</x:v>
      </x:c>
    </x:row>
    <x:row r="322">
      <x:c r="A322" s="22" t="n">
        <x:v>318</x:v>
      </x:c>
      <x:c r="B322" s="28" t="str">
        <x:f>"LVG0001"</x:f>
        <x:v>LVG0001</x:v>
      </x:c>
      <x:c r="C322" s="22" t="str">
        <x:v>LUVA DE VINIL G COM PÓ - CX/100 - DESCARPACK</x:v>
      </x:c>
      <x:c r="D322" s="22" t="str">
        <x:v>LUVA VINIL G COM PO</x:v>
      </x:c>
      <x:c r="E322" s="22" t="str">
        <x:v>LUVA VINIL G</x:v>
      </x:c>
      <x:c r="F322" s="22" t="str"/>
      <x:c r="G322" s="22" t="str"/>
      <x:c r="H322" s="22" t="str">
        <x:v>CX/100 | CX | CONTEUDO100 | FATOR100</x:v>
      </x:c>
      <x:c r="I322" s="22" t="str">
        <x:v>CAIXA</x:v>
      </x:c>
      <x:c r="J322" s="22" t="str">
        <x:v>DESCARPACK</x:v>
      </x:c>
      <x:c r="K322" s="28" t="str">
        <x:f>"GTIN: 7898946757255"</x:f>
        <x:v>GTIN: 7898946757255</x:v>
      </x:c>
      <x:c r="L322" s="28" t="str">
        <x:f>"62160000"</x:f>
        <x:v>62160000</x:v>
      </x:c>
      <x:c r="M322" s="22" t="str">
        <x:v>UN</x:v>
      </x:c>
      <x:c r="N322" s="22" t="str">
        <x:v>CX</x:v>
      </x:c>
      <x:c r="O322" s="22" t="n">
        <x:v>100</x:v>
      </x:c>
      <x:c r="P322" s="28" t="str">
        <x:f>"568"</x:f>
        <x:v>568</x:v>
      </x:c>
      <x:c r="Q322" s="28" t="str">
        <x:f>"LVG0001"</x:f>
        <x:v>LVG0001</x:v>
      </x:c>
    </x:row>
    <x:row r="323">
      <x:c r="A323" s="22" t="n">
        <x:v>319</x:v>
      </x:c>
      <x:c r="B323" s="28" t="str">
        <x:f>"LNP0002"</x:f>
        <x:v>LNP0002</x:v>
      </x:c>
      <x:c r="C323" s="22" t="str">
        <x:v>LUVA NITRÍLICA AZUL M S/ PÓ - CX/10 - GLOMED</x:v>
      </x:c>
      <x:c r="D323" s="22" t="str">
        <x:v>LUVA NITRILICA AZUL M PO</x:v>
      </x:c>
      <x:c r="E323" s="22" t="str">
        <x:v>LUVA NITRILICA AZUL</x:v>
      </x:c>
      <x:c r="F323" s="22" t="str"/>
      <x:c r="G323" s="22" t="str"/>
      <x:c r="H323" s="22" t="str">
        <x:v>CX/10 | CX | CONTEUDO10 | FATOR10</x:v>
      </x:c>
      <x:c r="I323" s="22" t="str">
        <x:v>CAIXA</x:v>
      </x:c>
      <x:c r="J323" s="22" t="str">
        <x:v>GLOMED</x:v>
      </x:c>
      <x:c r="K323" s="28" t="str"/>
      <x:c r="L323" s="28" t="str">
        <x:f>"40151900"</x:f>
        <x:v>40151900</x:v>
      </x:c>
      <x:c r="M323" s="22" t="str">
        <x:v>UN</x:v>
      </x:c>
      <x:c r="N323" s="22" t="str">
        <x:v>CX</x:v>
      </x:c>
      <x:c r="O323" s="22" t="n">
        <x:v>10</x:v>
      </x:c>
      <x:c r="P323" s="28" t="str">
        <x:f>"569"</x:f>
        <x:v>569</x:v>
      </x:c>
      <x:c r="Q323" s="28" t="str">
        <x:f>"LNP0002"</x:f>
        <x:v>LNP0002</x:v>
      </x:c>
    </x:row>
    <x:row r="324">
      <x:c r="A324" s="22" t="n">
        <x:v>320</x:v>
      </x:c>
      <x:c r="B324" s="28" t="str">
        <x:f>"LNA0001"</x:f>
        <x:v>LNA0001</x:v>
      </x:c>
      <x:c r="C324" s="22" t="str">
        <x:v>LUVA NITRÍLICA AZUL M S/ PÓ - CX/100 - DESCARPACK</x:v>
      </x:c>
      <x:c r="D324" s="22" t="str">
        <x:v>LUVA NITRILICA AZUL M PO</x:v>
      </x:c>
      <x:c r="E324" s="22" t="str">
        <x:v>LUVA NITRILICA AZUL</x:v>
      </x:c>
      <x:c r="F324" s="22" t="str"/>
      <x:c r="G324" s="22" t="str"/>
      <x:c r="H324" s="22" t="str">
        <x:v>CX/100 | CX | CONTEUDO100 | FATOR100</x:v>
      </x:c>
      <x:c r="I324" s="22" t="str">
        <x:v>CAIXA</x:v>
      </x:c>
      <x:c r="J324" s="22" t="str">
        <x:v>DESCARPACK</x:v>
      </x:c>
      <x:c r="K324" s="28" t="str"/>
      <x:c r="L324" s="28" t="str">
        <x:f>"40151900"</x:f>
        <x:v>40151900</x:v>
      </x:c>
      <x:c r="M324" s="22" t="str">
        <x:v>UN</x:v>
      </x:c>
      <x:c r="N324" s="22" t="str">
        <x:v>CX</x:v>
      </x:c>
      <x:c r="O324" s="22" t="n">
        <x:v>100</x:v>
      </x:c>
      <x:c r="P324" s="28" t="str">
        <x:f>"570"</x:f>
        <x:v>570</x:v>
      </x:c>
      <x:c r="Q324" s="28" t="str">
        <x:f>"LNA0001"</x:f>
        <x:v>LNA0001</x:v>
      </x:c>
    </x:row>
    <x:row r="325">
      <x:c r="A325" s="22" t="n">
        <x:v>321</x:v>
      </x:c>
      <x:c r="B325" s="28" t="str">
        <x:f>"LNA0002"</x:f>
        <x:v>LNA0002</x:v>
      </x:c>
      <x:c r="C325" s="22" t="str">
        <x:v>LUVA NITRÍLICA AZUL M S/ PÓ - CX/100 - SECUREMED</x:v>
      </x:c>
      <x:c r="D325" s="22" t="str">
        <x:v>LUVA NITRILICA AZUL M PO</x:v>
      </x:c>
      <x:c r="E325" s="22" t="str">
        <x:v>LUVA NITRILICA AZUL</x:v>
      </x:c>
      <x:c r="F325" s="22" t="str"/>
      <x:c r="G325" s="22" t="str"/>
      <x:c r="H325" s="22" t="str">
        <x:v>CX/100 | CX | CONTEUDO100 | FATOR100</x:v>
      </x:c>
      <x:c r="I325" s="22" t="str">
        <x:v>CAIXA</x:v>
      </x:c>
      <x:c r="J325" s="22" t="str">
        <x:v>SECUREMED</x:v>
      </x:c>
      <x:c r="K325" s="28" t="str"/>
      <x:c r="L325" s="28" t="str">
        <x:f>"40151900"</x:f>
        <x:v>40151900</x:v>
      </x:c>
      <x:c r="M325" s="22" t="str">
        <x:v>UN</x:v>
      </x:c>
      <x:c r="N325" s="22" t="str">
        <x:v>CX</x:v>
      </x:c>
      <x:c r="O325" s="22" t="n">
        <x:v>100</x:v>
      </x:c>
      <x:c r="P325" s="28" t="str">
        <x:f>"571"</x:f>
        <x:v>571</x:v>
      </x:c>
      <x:c r="Q325" s="28" t="str">
        <x:f>"LNA0002"</x:f>
        <x:v>LNA0002</x:v>
      </x:c>
    </x:row>
    <x:row r="326">
      <x:c r="A326" s="22" t="n">
        <x:v>322</x:v>
      </x:c>
      <x:c r="B326" s="28" t="str">
        <x:f>"LNP0004"</x:f>
        <x:v>LNP0004</x:v>
      </x:c>
      <x:c r="C326" s="22" t="str">
        <x:v>LUVA NITRÍLICA P/ PROCEDIMENTO G S/PÓ NÃO ESTÉRIL - CX/100 - DESCARPACK</x:v>
      </x:c>
      <x:c r="D326" s="22" t="str">
        <x:v>LUVA NITRILICA PROCEDIMENTO G PO NAO ESTERIL</x:v>
      </x:c>
      <x:c r="E326" s="22" t="str">
        <x:v>LUVA NITRILICA PROCEDIMENTO</x:v>
      </x:c>
      <x:c r="F326" s="22" t="str"/>
      <x:c r="G326" s="22" t="str"/>
      <x:c r="H326" s="22" t="str">
        <x:v>CX/100 | CX | CONTEUDO100 | FATOR100</x:v>
      </x:c>
      <x:c r="I326" s="22" t="str">
        <x:v>CAIXA</x:v>
      </x:c>
      <x:c r="J326" s="22" t="str">
        <x:v>DESCARPACK</x:v>
      </x:c>
      <x:c r="K326" s="28" t="str">
        <x:f>"GTIN: 7898733213001"</x:f>
        <x:v>GTIN: 7898733213001</x:v>
      </x:c>
      <x:c r="L326" s="28" t="str">
        <x:f>"40151900"</x:f>
        <x:v>40151900</x:v>
      </x:c>
      <x:c r="M326" s="22" t="str">
        <x:v>UN</x:v>
      </x:c>
      <x:c r="N326" s="22" t="str">
        <x:v>CX</x:v>
      </x:c>
      <x:c r="O326" s="22" t="n">
        <x:v>100</x:v>
      </x:c>
      <x:c r="P326" s="28" t="str">
        <x:f>"572"</x:f>
        <x:v>572</x:v>
      </x:c>
      <x:c r="Q326" s="28" t="str">
        <x:f>"LNP0004"</x:f>
        <x:v>LNP0004</x:v>
      </x:c>
    </x:row>
    <x:row r="327">
      <x:c r="A327" s="22" t="n">
        <x:v>323</x:v>
      </x:c>
      <x:c r="B327" s="28" t="str">
        <x:f>"LNP0001"</x:f>
        <x:v>LNP0001</x:v>
      </x:c>
      <x:c r="C327" s="22" t="str">
        <x:v>LUVA NITRÍLICA P/ PROCEDIMENTO G S/PÓ NÃO ESTÉRIL - CX/100 - MEDIX</x:v>
      </x:c>
      <x:c r="D327" s="22" t="str">
        <x:v>LUVA NITRILICA PROCEDIMENTO G PO NAO ESTERIL</x:v>
      </x:c>
      <x:c r="E327" s="22" t="str">
        <x:v>LUVA NITRILICA PROCEDIMENTO</x:v>
      </x:c>
      <x:c r="F327" s="22" t="str"/>
      <x:c r="G327" s="22" t="str"/>
      <x:c r="H327" s="22" t="str">
        <x:v>CX/100 | CX | CONTEUDO100 | FATOR100</x:v>
      </x:c>
      <x:c r="I327" s="22" t="str">
        <x:v>CAIXA</x:v>
      </x:c>
      <x:c r="J327" s="22" t="str">
        <x:v>MEDIX</x:v>
      </x:c>
      <x:c r="K327" s="28" t="str">
        <x:f>"GTIN: 7898733213001"</x:f>
        <x:v>GTIN: 7898733213001</x:v>
      </x:c>
      <x:c r="L327" s="28" t="str">
        <x:f>"40151900"</x:f>
        <x:v>40151900</x:v>
      </x:c>
      <x:c r="M327" s="22" t="str">
        <x:v>UN</x:v>
      </x:c>
      <x:c r="N327" s="22" t="str">
        <x:v>CX</x:v>
      </x:c>
      <x:c r="O327" s="22" t="n">
        <x:v>100</x:v>
      </x:c>
      <x:c r="P327" s="28" t="str">
        <x:f>"573"</x:f>
        <x:v>573</x:v>
      </x:c>
      <x:c r="Q327" s="28" t="str">
        <x:f>"LNP0001"</x:f>
        <x:v>LNP0001</x:v>
      </x:c>
    </x:row>
    <x:row r="328">
      <x:c r="A328" s="22" t="n">
        <x:v>324</x:v>
      </x:c>
      <x:c r="B328" s="28" t="str">
        <x:f>"LNP0005"</x:f>
        <x:v>LNP0005</x:v>
      </x:c>
      <x:c r="C328" s="22" t="str">
        <x:v>LUVA NITRÍLICA P/ PROCEDIMENTO G S/PÓ NÃO ESTÉRIL - CX/100 - ZELARA</x:v>
      </x:c>
      <x:c r="D328" s="22" t="str">
        <x:v>LUVA NITRILICA PROCEDIMENTO G PO NAO ESTERIL</x:v>
      </x:c>
      <x:c r="E328" s="22" t="str">
        <x:v>LUVA NITRILICA PROCEDIMENTO</x:v>
      </x:c>
      <x:c r="F328" s="22" t="str"/>
      <x:c r="G328" s="22" t="str"/>
      <x:c r="H328" s="22" t="str">
        <x:v>CX/100 | CX | CONTEUDO100 | FATOR100</x:v>
      </x:c>
      <x:c r="I328" s="22" t="str">
        <x:v>CAIXA</x:v>
      </x:c>
      <x:c r="J328" s="22" t="str">
        <x:v>ZELARA</x:v>
      </x:c>
      <x:c r="K328" s="28" t="str">
        <x:f>"GTIN: 7898733213001"</x:f>
        <x:v>GTIN: 7898733213001</x:v>
      </x:c>
      <x:c r="L328" s="28" t="str">
        <x:f>"40151900"</x:f>
        <x:v>40151900</x:v>
      </x:c>
      <x:c r="M328" s="22" t="str">
        <x:v>UN</x:v>
      </x:c>
      <x:c r="N328" s="22" t="str">
        <x:v>CX</x:v>
      </x:c>
      <x:c r="O328" s="22" t="n">
        <x:v>100</x:v>
      </x:c>
      <x:c r="P328" s="28" t="str">
        <x:f>"574"</x:f>
        <x:v>574</x:v>
      </x:c>
      <x:c r="Q328" s="28" t="str">
        <x:f>"LNP0005"</x:f>
        <x:v>LNP0005</x:v>
      </x:c>
    </x:row>
    <x:row r="329">
      <x:c r="A329" s="22" t="n">
        <x:v>325</x:v>
      </x:c>
      <x:c r="B329" s="28" t="str">
        <x:f>"LNP0003"</x:f>
        <x:v>LNP0003</x:v>
      </x:c>
      <x:c r="C329" s="22" t="str">
        <x:v>LUVA NITRÍLICA P/ PROCEDIMENTO M S/PÓ NÃO ESTÉRIL - CX/100 - MEDIX</x:v>
      </x:c>
      <x:c r="D329" s="22" t="str">
        <x:v>LUVA NITRILICA PROCEDIMENTO M PO NAO ESTERIL</x:v>
      </x:c>
      <x:c r="E329" s="22" t="str">
        <x:v>LUVA NITRILICA PROCEDIMENTO</x:v>
      </x:c>
      <x:c r="F329" s="22" t="str"/>
      <x:c r="G329" s="22" t="str"/>
      <x:c r="H329" s="22" t="str">
        <x:v>CX/100 | CX | CONTEUDO100 | FATOR100</x:v>
      </x:c>
      <x:c r="I329" s="22" t="str">
        <x:v>CAIXA</x:v>
      </x:c>
      <x:c r="J329" s="22" t="str">
        <x:v>MEDIX</x:v>
      </x:c>
      <x:c r="K329" s="28" t="str"/>
      <x:c r="L329" s="28" t="str">
        <x:f>"40151900"</x:f>
        <x:v>40151900</x:v>
      </x:c>
      <x:c r="M329" s="22" t="str">
        <x:v>UN</x:v>
      </x:c>
      <x:c r="N329" s="22" t="str">
        <x:v>CX</x:v>
      </x:c>
      <x:c r="O329" s="22" t="n">
        <x:v>100</x:v>
      </x:c>
      <x:c r="P329" s="28" t="str">
        <x:f>"575"</x:f>
        <x:v>575</x:v>
      </x:c>
      <x:c r="Q329" s="28" t="str">
        <x:f>"LNP0003"</x:f>
        <x:v>LNP0003</x:v>
      </x:c>
    </x:row>
    <x:row r="330">
      <x:c r="A330" s="22" t="n">
        <x:v>326</x:v>
      </x:c>
      <x:c r="B330" s="28" t="str">
        <x:f>"LPE0007"</x:f>
        <x:v>LPE0007</x:v>
      </x:c>
      <x:c r="C330" s="22" t="str">
        <x:v>LUVA NITRÍLICA P/ PROCEDIMENTO M S/PÓ NÃO ESTÉRIL - CX/100 - SAFE MAX</x:v>
      </x:c>
      <x:c r="D330" s="22" t="str">
        <x:v>LUVA NITRILICA PROCEDIMENTO M PO NAO ESTERIL</x:v>
      </x:c>
      <x:c r="E330" s="22" t="str">
        <x:v>LUVA NITRILICA PROCEDIMENTO</x:v>
      </x:c>
      <x:c r="F330" s="22" t="str"/>
      <x:c r="G330" s="22" t="str"/>
      <x:c r="H330" s="22" t="str">
        <x:v>CX/100 | CX | CONTEUDO100 | FATOR100</x:v>
      </x:c>
      <x:c r="I330" s="22" t="str">
        <x:v>CAIXA</x:v>
      </x:c>
      <x:c r="J330" s="22" t="str">
        <x:v>SAFE MAX</x:v>
      </x:c>
      <x:c r="K330" s="28" t="str"/>
      <x:c r="L330" s="28" t="str">
        <x:f>"40151900"</x:f>
        <x:v>40151900</x:v>
      </x:c>
      <x:c r="M330" s="22" t="str">
        <x:v>UN</x:v>
      </x:c>
      <x:c r="N330" s="22" t="str">
        <x:v>CX</x:v>
      </x:c>
      <x:c r="O330" s="22" t="n">
        <x:v>100</x:v>
      </x:c>
      <x:c r="P330" s="28" t="str">
        <x:f>"576"</x:f>
        <x:v>576</x:v>
      </x:c>
      <x:c r="Q330" s="28" t="str">
        <x:f>"LPE0007"</x:f>
        <x:v>LPE0007</x:v>
      </x:c>
    </x:row>
    <x:row r="331">
      <x:c r="A331" s="22" t="n">
        <x:v>327</x:v>
      </x:c>
      <x:c r="B331" s="28" t="str">
        <x:f>"LPE0011"</x:f>
        <x:v>LPE0011</x:v>
      </x:c>
      <x:c r="C331" s="22" t="str">
        <x:v>LUVA VOLK SLIM AMARELA LATEX G</x:v>
      </x:c>
      <x:c r="D331" s="22" t="str">
        <x:v>LUVA SLIM AMARELA LATEX G</x:v>
      </x:c>
      <x:c r="E331" s="22" t="str">
        <x:v>LUVA SLIM AMARELA</x:v>
      </x:c>
      <x:c r="F331" s="22" t="str"/>
      <x:c r="G331" s="22" t="str"/>
      <x:c r="H331" s="22" t="str">
        <x:v>UN</x:v>
      </x:c>
      <x:c r="I331" s="22" t="str">
        <x:v>UNIDADE</x:v>
      </x:c>
      <x:c r="J331" s="22" t="str">
        <x:v>VOLK</x:v>
      </x:c>
      <x:c r="K331" s="28" t="str">
        <x:f>"GTIN: 7898207210444"</x:f>
        <x:v>GTIN: 7898207210444</x:v>
      </x:c>
      <x:c r="L331" s="28" t="str">
        <x:f>"62160000"</x:f>
        <x:v>62160000</x:v>
      </x:c>
      <x:c r="M331" s="22" t="str">
        <x:v>UN</x:v>
      </x:c>
      <x:c r="N331" s="22" t="str">
        <x:v>UN</x:v>
      </x:c>
      <x:c r="O331" s="22" t="n">
        <x:v>1</x:v>
      </x:c>
      <x:c r="P331" s="28" t="str">
        <x:f>"577"</x:f>
        <x:v>577</x:v>
      </x:c>
      <x:c r="Q331" s="28" t="str">
        <x:f>"LPE0011"</x:f>
        <x:v>LPE0011</x:v>
      </x:c>
    </x:row>
    <x:row r="332">
      <x:c r="A332" s="22" t="n">
        <x:v>328</x:v>
      </x:c>
      <x:c r="B332" s="28" t="str">
        <x:f>"LVS0001"</x:f>
        <x:v>LVS0001</x:v>
      </x:c>
      <x:c r="C332" s="22" t="str">
        <x:v>LUVA VOLK SLIM AMARELA LATEX M</x:v>
      </x:c>
      <x:c r="D332" s="22" t="str">
        <x:v>LUVA SLIM AMARELA LATEX M</x:v>
      </x:c>
      <x:c r="E332" s="22" t="str">
        <x:v>LUVA SLIM AMARELA</x:v>
      </x:c>
      <x:c r="F332" s="22" t="str"/>
      <x:c r="G332" s="22" t="str"/>
      <x:c r="H332" s="22" t="str">
        <x:v>UN</x:v>
      </x:c>
      <x:c r="I332" s="22" t="str">
        <x:v>UNIDADE</x:v>
      </x:c>
      <x:c r="J332" s="22" t="str">
        <x:v>VOLK</x:v>
      </x:c>
      <x:c r="K332" s="28" t="str">
        <x:f>"GTIN: 7898909722498"</x:f>
        <x:v>GTIN: 7898909722498</x:v>
      </x:c>
      <x:c r="L332" s="28" t="str">
        <x:f>"62160000"</x:f>
        <x:v>62160000</x:v>
      </x:c>
      <x:c r="M332" s="22" t="str">
        <x:v>UN</x:v>
      </x:c>
      <x:c r="N332" s="22" t="str">
        <x:v>UN</x:v>
      </x:c>
      <x:c r="O332" s="22" t="n">
        <x:v>1</x:v>
      </x:c>
      <x:c r="P332" s="28" t="str">
        <x:f>"578"</x:f>
        <x:v>578</x:v>
      </x:c>
      <x:c r="Q332" s="28" t="str">
        <x:f>"LVS0001"</x:f>
        <x:v>LVS0001</x:v>
      </x:c>
    </x:row>
    <x:row r="333">
      <x:c r="A333" s="22" t="n">
        <x:v>329</x:v>
      </x:c>
      <x:c r="B333" s="28" t="str">
        <x:f>"MD10001"</x:f>
        <x:v>MD10001</x:v>
      </x:c>
      <x:c r="C333" s="22" t="str">
        <x:v>MALEATO DE DEXCLORFENIRAMINA 120ML (POLARAX) - AIRELA</x:v>
      </x:c>
      <x:c r="D333" s="22" t="str">
        <x:v>MALEATO DEXCLORFENIRAMINA</x:v>
      </x:c>
      <x:c r="E333" s="22" t="str">
        <x:v>MALEATO DEXCLORFENIRAMINA</x:v>
      </x:c>
      <x:c r="F333" s="22" t="str">
        <x:v>120ML</x:v>
      </x:c>
      <x:c r="G333" s="22" t="str"/>
      <x:c r="H333" s="22" t="str">
        <x:v>UND</x:v>
      </x:c>
      <x:c r="I333" s="22" t="str">
        <x:v>UNIDADE</x:v>
      </x:c>
      <x:c r="J333" s="22" t="str">
        <x:v>AIRELA</x:v>
      </x:c>
      <x:c r="K333" s="28" t="str"/>
      <x:c r="L333" s="28" t="str">
        <x:f>"30039083"</x:f>
        <x:v>30039083</x:v>
      </x:c>
      <x:c r="M333" s="22" t="str">
        <x:v>UND</x:v>
      </x:c>
      <x:c r="N333" s="22" t="str">
        <x:v>UND</x:v>
      </x:c>
      <x:c r="O333" s="22" t="n">
        <x:v>1</x:v>
      </x:c>
      <x:c r="P333" s="28" t="str">
        <x:f>"579"</x:f>
        <x:v>579</x:v>
      </x:c>
      <x:c r="Q333" s="28" t="str">
        <x:f>"MD10001"</x:f>
        <x:v>MD10001</x:v>
      </x:c>
    </x:row>
    <x:row r="334">
      <x:c r="A334" s="22" t="n">
        <x:v>330</x:v>
      </x:c>
      <x:c r="B334" s="28" t="str">
        <x:f>"MT10001"</x:f>
        <x:v>MT10001</x:v>
      </x:c>
      <x:c r="C334" s="22" t="str">
        <x:v>MALHA TUBULAR 10CM X 15MTS - ORTOFEN</x:v>
      </x:c>
      <x:c r="D334" s="22" t="str">
        <x:v>MALHA TUBULAR X 15MTS</x:v>
      </x:c>
      <x:c r="E334" s="22" t="str">
        <x:v>MALHA TUBULAR X</x:v>
      </x:c>
      <x:c r="F334" s="22" t="str"/>
      <x:c r="G334" s="22" t="str"/>
      <x:c r="H334" s="22" t="str">
        <x:v>UN</x:v>
      </x:c>
      <x:c r="I334" s="22" t="str">
        <x:v>UNIDADE</x:v>
      </x:c>
      <x:c r="J334" s="22" t="str">
        <x:v>ORTOFEN</x:v>
      </x:c>
      <x:c r="K334" s="28" t="str"/>
      <x:c r="L334" s="28" t="str">
        <x:f>"90211020"</x:f>
        <x:v>90211020</x:v>
      </x:c>
      <x:c r="M334" s="22" t="str">
        <x:v>UN</x:v>
      </x:c>
      <x:c r="N334" s="22" t="str">
        <x:v>UN</x:v>
      </x:c>
      <x:c r="O334" s="22" t="n">
        <x:v>1</x:v>
      </x:c>
      <x:c r="P334" s="28" t="str">
        <x:f>"580"</x:f>
        <x:v>580</x:v>
      </x:c>
      <x:c r="Q334" s="28" t="str">
        <x:f>"MT10001"</x:f>
        <x:v>MT10001</x:v>
      </x:c>
    </x:row>
    <x:row r="335">
      <x:c r="A335" s="22" t="n">
        <x:v>331</x:v>
      </x:c>
      <x:c r="B335" s="28" t="str">
        <x:f>"MAC0001"</x:f>
        <x:v>MAC0001</x:v>
      </x:c>
      <x:c r="C335" s="22" t="str">
        <x:v>MASCARA ALTA CONCENTRAÇÃO AD- NAO ESTERIO PROTEC</x:v>
      </x:c>
      <x:c r="D335" s="22" t="str">
        <x:v>MASCARA ALTA CONCENTRACAO AD NAO ESTERIO</x:v>
      </x:c>
      <x:c r="E335" s="22" t="str">
        <x:v>MASCARA ALTA CONCENTRACAO</x:v>
      </x:c>
      <x:c r="F335" s="22" t="str"/>
      <x:c r="G335" s="22" t="str"/>
      <x:c r="H335" s="22" t="str"/>
      <x:c r="I335" s="22" t="str">
        <x:v>OUTRA</x:v>
      </x:c>
      <x:c r="J335" s="22" t="str">
        <x:v>PROTEC</x:v>
      </x:c>
      <x:c r="K335" s="28" t="str">
        <x:f>"GTIN: 7898435786810"</x:f>
        <x:v>GTIN: 7898435786810</x:v>
      </x:c>
      <x:c r="L335" s="28" t="str">
        <x:f>"90192090"</x:f>
        <x:v>90192090</x:v>
      </x:c>
      <x:c r="M335" s="22" t="str">
        <x:v>UN</x:v>
      </x:c>
      <x:c r="N335" s="22" t="str"/>
      <x:c r="O335" s="22" t="n">
        <x:v>1</x:v>
      </x:c>
      <x:c r="P335" s="28" t="str">
        <x:f>"581"</x:f>
        <x:v>581</x:v>
      </x:c>
      <x:c r="Q335" s="28" t="str">
        <x:f>"MAC0001"</x:f>
        <x:v>MAC0001</x:v>
      </x:c>
    </x:row>
    <x:row r="336">
      <x:c r="A336" s="22" t="n">
        <x:v>332</x:v>
      </x:c>
      <x:c r="B336" s="28" t="str">
        <x:f>"MCT0002"</x:f>
        <x:v>MCT0002</x:v>
      </x:c>
      <x:c r="C336" s="22" t="str">
        <x:v>MASCARA CIRURGICA TRIPLA NÃO ESTERIL BRANCA - CX/50 - DESCARPACK</x:v>
      </x:c>
      <x:c r="D336" s="22" t="str">
        <x:v>MASCARA CIRURGICA TRIPLA NAO ESTERIL BRANCA</x:v>
      </x:c>
      <x:c r="E336" s="22" t="str">
        <x:v>MASCARA CIRURGICA TRIPLA</x:v>
      </x:c>
      <x:c r="F336" s="22" t="str"/>
      <x:c r="G336" s="22" t="str"/>
      <x:c r="H336" s="22" t="str">
        <x:v>CX/50 | CX | CONTEUDO50 | FATOR50</x:v>
      </x:c>
      <x:c r="I336" s="22" t="str">
        <x:v>CAIXA</x:v>
      </x:c>
      <x:c r="J336" s="22" t="str">
        <x:v>DESCARPACK</x:v>
      </x:c>
      <x:c r="K336" s="28" t="str">
        <x:f>"GTIN: 7898916637006"</x:f>
        <x:v>GTIN: 7898916637006</x:v>
      </x:c>
      <x:c r="L336" s="28" t="str">
        <x:f>"63079010"</x:f>
        <x:v>63079010</x:v>
      </x:c>
      <x:c r="M336" s="22" t="str">
        <x:v>UN</x:v>
      </x:c>
      <x:c r="N336" s="22" t="str">
        <x:v>CX</x:v>
      </x:c>
      <x:c r="O336" s="22" t="n">
        <x:v>50</x:v>
      </x:c>
      <x:c r="P336" s="28" t="str">
        <x:f>"582"</x:f>
        <x:v>582</x:v>
      </x:c>
      <x:c r="Q336" s="28" t="str">
        <x:f>"MCT0002"</x:f>
        <x:v>MCT0002</x:v>
      </x:c>
    </x:row>
    <x:row r="337">
      <x:c r="A337" s="22" t="n">
        <x:v>333</x:v>
      </x:c>
      <x:c r="B337" s="28" t="str">
        <x:f>"MFA0001"</x:f>
        <x:v>MFA0001</x:v>
      </x:c>
      <x:c r="C337" s="22" t="str">
        <x:v>MASCARA FACIAL AMBU</x:v>
      </x:c>
      <x:c r="D337" s="22" t="str">
        <x:v>MASCARA FACIAL</x:v>
      </x:c>
      <x:c r="E337" s="22" t="str">
        <x:v>MASCARA FACIAL</x:v>
      </x:c>
      <x:c r="F337" s="22" t="str"/>
      <x:c r="G337" s="22" t="str"/>
      <x:c r="H337" s="22" t="str">
        <x:v>UND</x:v>
      </x:c>
      <x:c r="I337" s="22" t="str">
        <x:v>UNIDADE</x:v>
      </x:c>
      <x:c r="J337" s="22" t="str">
        <x:v>AMBU</x:v>
      </x:c>
      <x:c r="K337" s="28" t="str">
        <x:f>"GTIN: 7899636103277"</x:f>
        <x:v>GTIN: 7899636103277</x:v>
      </x:c>
      <x:c r="L337" s="28" t="str">
        <x:f>"90192010"</x:f>
        <x:v>90192010</x:v>
      </x:c>
      <x:c r="M337" s="22" t="str">
        <x:v>UND</x:v>
      </x:c>
      <x:c r="N337" s="22" t="str">
        <x:v>UND</x:v>
      </x:c>
      <x:c r="O337" s="22" t="n">
        <x:v>1</x:v>
      </x:c>
      <x:c r="P337" s="28" t="str">
        <x:f>"583"</x:f>
        <x:v>583</x:v>
      </x:c>
      <x:c r="Q337" s="28" t="str">
        <x:f>"MFA0001"</x:f>
        <x:v>MFA0001</x:v>
      </x:c>
    </x:row>
    <x:row r="338">
      <x:c r="A338" s="22" t="n">
        <x:v>334</x:v>
      </x:c>
      <x:c r="B338" s="28" t="str">
        <x:f>"MMA0001"</x:f>
        <x:v>MMA0001</x:v>
      </x:c>
      <x:c r="C338" s="22" t="str">
        <x:v>MASCARA MICRONEBULIZADOR AR COMPRIMIDO ADULTO - FOYOMED</x:v>
      </x:c>
      <x:c r="D338" s="22" t="str">
        <x:v>MASCARA MICRONEBULIZADOR AR COMPRIMIDO ADULTO</x:v>
      </x:c>
      <x:c r="E338" s="22" t="str">
        <x:v>MASCARA MICRONEBULIZADOR AR</x:v>
      </x:c>
      <x:c r="F338" s="22" t="str"/>
      <x:c r="G338" s="22" t="str"/>
      <x:c r="H338" s="22" t="str">
        <x:v>UNIDAD</x:v>
      </x:c>
      <x:c r="I338" s="22" t="str">
        <x:v>UNIDADE</x:v>
      </x:c>
      <x:c r="J338" s="22" t="str">
        <x:v>FOYOMED</x:v>
      </x:c>
      <x:c r="K338" s="28" t="str">
        <x:f>"GTIN: 7899838876931"</x:f>
        <x:v>GTIN: 7899838876931</x:v>
      </x:c>
      <x:c r="L338" s="28" t="str">
        <x:f>"90192010"</x:f>
        <x:v>90192010</x:v>
      </x:c>
      <x:c r="M338" s="22" t="str">
        <x:v>UNIDAD</x:v>
      </x:c>
      <x:c r="N338" s="22" t="str">
        <x:v>UNIDAD</x:v>
      </x:c>
      <x:c r="O338" s="22" t="n">
        <x:v>1</x:v>
      </x:c>
      <x:c r="P338" s="28" t="str">
        <x:f>"584"</x:f>
        <x:v>584</x:v>
      </x:c>
      <x:c r="Q338" s="28" t="str">
        <x:f>"MMA0001"</x:f>
        <x:v>MMA0001</x:v>
      </x:c>
    </x:row>
    <x:row r="339">
      <x:c r="A339" s="22" t="n">
        <x:v>335</x:v>
      </x:c>
      <x:c r="B339" s="28" t="str">
        <x:f>"M5-0001"</x:f>
        <x:v>M5-0001</x:v>
      </x:c>
      <x:c r="C339" s="22" t="str">
        <x:v>MEROPENEM 1G - CX/25 - BIO CHIMICO</x:v>
      </x:c>
      <x:c r="D339" s="22" t="str">
        <x:v>MEROPENEM BIO CHIMICO</x:v>
      </x:c>
      <x:c r="E339" s="22" t="str">
        <x:v>MEROPENEM BIO CHIMICO</x:v>
      </x:c>
      <x:c r="F339" s="22" t="str">
        <x:v>1G</x:v>
      </x:c>
      <x:c r="G339" s="22" t="str">
        <x:v>1G</x:v>
      </x:c>
      <x:c r="H339" s="22" t="str">
        <x:v>CX/25 | CX | CONTEUDO25 | FATOR25</x:v>
      </x:c>
      <x:c r="I339" s="22" t="str">
        <x:v>CAIXA</x:v>
      </x:c>
      <x:c r="J339" s="22" t="str">
        <x:v>BIOCHIMICO</x:v>
      </x:c>
      <x:c r="K339" s="28" t="str">
        <x:f>"GTIN: 7897406111590"</x:f>
        <x:v>GTIN: 7897406111590</x:v>
      </x:c>
      <x:c r="L339" s="28" t="str">
        <x:f>"30042099"</x:f>
        <x:v>30042099</x:v>
      </x:c>
      <x:c r="M339" s="22" t="str">
        <x:v>UN</x:v>
      </x:c>
      <x:c r="N339" s="22" t="str">
        <x:v>CX</x:v>
      </x:c>
      <x:c r="O339" s="22" t="n">
        <x:v>25</x:v>
      </x:c>
      <x:c r="P339" s="28" t="str">
        <x:f>"585 | 586 | 587"</x:f>
        <x:v>585 | 586 | 587</x:v>
      </x:c>
      <x:c r="Q339" s="28" t="str">
        <x:f>"M1-0002 | M5-0001 | M1-0006"</x:f>
        <x:v>M1-0002 | M5-0001 | M1-0006</x:v>
      </x:c>
    </x:row>
    <x:row r="340">
      <x:c r="A340" s="22" t="n">
        <x:v>336</x:v>
      </x:c>
      <x:c r="B340" s="28" t="str">
        <x:f>"M1-0005"</x:f>
        <x:v>M1-0005</x:v>
      </x:c>
      <x:c r="C340" s="22" t="str">
        <x:v>MEROPENEM 1G - CX/25 - BLAU</x:v>
      </x:c>
      <x:c r="D340" s="22" t="str">
        <x:v>MEROPENEM</x:v>
      </x:c>
      <x:c r="E340" s="22" t="str">
        <x:v>MEROPENEM</x:v>
      </x:c>
      <x:c r="F340" s="22" t="str">
        <x:v>1G</x:v>
      </x:c>
      <x:c r="G340" s="22" t="str">
        <x:v>1G</x:v>
      </x:c>
      <x:c r="H340" s="22" t="str">
        <x:v>CX/25 | CX | CONTEUDO25 | FATOR25</x:v>
      </x:c>
      <x:c r="I340" s="22" t="str">
        <x:v>CAIXA</x:v>
      </x:c>
      <x:c r="J340" s="22" t="str">
        <x:v>BLAU</x:v>
      </x:c>
      <x:c r="K340" s="28" t="str">
        <x:f>"GTIN: 7896014680290"</x:f>
        <x:v>GTIN: 7896014680290</x:v>
      </x:c>
      <x:c r="L340" s="28" t="str">
        <x:f>"30042099"</x:f>
        <x:v>30042099</x:v>
      </x:c>
      <x:c r="M340" s="22" t="str">
        <x:v>UN</x:v>
      </x:c>
      <x:c r="N340" s="22" t="str">
        <x:v>CX</x:v>
      </x:c>
      <x:c r="O340" s="22" t="n">
        <x:v>25</x:v>
      </x:c>
      <x:c r="P340" s="28" t="str">
        <x:f>"588 | 589 | 590 | 591 | 592"</x:f>
        <x:v>588 | 589 | 590 | 591 | 592</x:v>
      </x:c>
      <x:c r="Q340" s="28" t="str">
        <x:f>"M1-0007 | M1-0001 | M1-0003 | M1-0005 | M1-0008"</x:f>
        <x:v>M1-0007 | M1-0001 | M1-0003 | M1-0005 | M1-0008</x:v>
      </x:c>
    </x:row>
    <x:row r="341">
      <x:c r="A341" s="22" t="n">
        <x:v>337</x:v>
      </x:c>
      <x:c r="B341" s="28" t="str">
        <x:f>"M1-0004"</x:f>
        <x:v>M1-0004</x:v>
      </x:c>
      <x:c r="C341" s="22" t="str">
        <x:v>MEROPENEM 1G CX/10 - FRESENIUS</x:v>
      </x:c>
      <x:c r="D341" s="22" t="str">
        <x:v>MEROPENEM</x:v>
      </x:c>
      <x:c r="E341" s="22" t="str">
        <x:v>MEROPENEM</x:v>
      </x:c>
      <x:c r="F341" s="22" t="str">
        <x:v>1G</x:v>
      </x:c>
      <x:c r="G341" s="22" t="str">
        <x:v>1G</x:v>
      </x:c>
      <x:c r="H341" s="22" t="str">
        <x:v>CX/10 | CX | CONTEUDO10 | FATOR10</x:v>
      </x:c>
      <x:c r="I341" s="22" t="str">
        <x:v>CAIXA</x:v>
      </x:c>
      <x:c r="J341" s="22" t="str">
        <x:v>FRESENIUS</x:v>
      </x:c>
      <x:c r="K341" s="28" t="str"/>
      <x:c r="L341" s="28" t="str">
        <x:f>"30042099"</x:f>
        <x:v>30042099</x:v>
      </x:c>
      <x:c r="M341" s="22" t="str">
        <x:v>UN</x:v>
      </x:c>
      <x:c r="N341" s="22" t="str">
        <x:v>CX</x:v>
      </x:c>
      <x:c r="O341" s="22" t="n">
        <x:v>10</x:v>
      </x:c>
      <x:c r="P341" s="28" t="str">
        <x:f>"593 | 594"</x:f>
        <x:v>593 | 594</x:v>
      </x:c>
      <x:c r="Q341" s="28" t="str">
        <x:f>"M1-0004 | M1C0002"</x:f>
        <x:v>M1-0004 | M1C0002</x:v>
      </x:c>
    </x:row>
    <x:row r="342">
      <x:c r="A342" s="22" t="n">
        <x:v>338</x:v>
      </x:c>
      <x:c r="B342" s="28" t="str">
        <x:f>"M5-0002"</x:f>
        <x:v>M5-0002</x:v>
      </x:c>
      <x:c r="C342" s="22" t="str">
        <x:v>MEROPENEM 500MG - CX/10 - ABL</x:v>
      </x:c>
      <x:c r="D342" s="22" t="str">
        <x:v>MEROPENEM</x:v>
      </x:c>
      <x:c r="E342" s="22" t="str">
        <x:v>MEROPENEM</x:v>
      </x:c>
      <x:c r="F342" s="22" t="str">
        <x:v>500MG</x:v>
      </x:c>
      <x:c r="G342" s="22" t="str"/>
      <x:c r="H342" s="22" t="str">
        <x:v>CX/10 | CX | CONTEUDO10 | FATOR10</x:v>
      </x:c>
      <x:c r="I342" s="22" t="str">
        <x:v>CAIXA</x:v>
      </x:c>
      <x:c r="J342" s="22" t="str">
        <x:v>ABL</x:v>
      </x:c>
      <x:c r="K342" s="28" t="str">
        <x:f>"GTIN: 7898911244179"</x:f>
        <x:v>GTIN: 7898911244179</x:v>
      </x:c>
      <x:c r="L342" s="28" t="str">
        <x:f>"30042099"</x:f>
        <x:v>30042099</x:v>
      </x:c>
      <x:c r="M342" s="22" t="str">
        <x:v>UN</x:v>
      </x:c>
      <x:c r="N342" s="22" t="str">
        <x:v>CX</x:v>
      </x:c>
      <x:c r="O342" s="22" t="n">
        <x:v>10</x:v>
      </x:c>
      <x:c r="P342" s="28" t="str">
        <x:f>"595 | 596 | 597"</x:f>
        <x:v>595 | 596 | 597</x:v>
      </x:c>
      <x:c r="Q342" s="28" t="str">
        <x:f>"M5A0009 | M5-0002 | M5-0003"</x:f>
        <x:v>M5A0009 | M5-0002 | M5-0003</x:v>
      </x:c>
    </x:row>
    <x:row r="343">
      <x:c r="A343" s="22" t="n">
        <x:v>339</x:v>
      </x:c>
      <x:c r="B343" s="28" t="str">
        <x:f>"M5B0001"</x:f>
        <x:v>M5B0001</x:v>
      </x:c>
      <x:c r="C343" s="22" t="str">
        <x:v>MEROPENEM 500MG - CX/10 - BIO CHIMICO</x:v>
      </x:c>
      <x:c r="D343" s="22" t="str">
        <x:v>MEROPENEM BIO CHIMICO</x:v>
      </x:c>
      <x:c r="E343" s="22" t="str">
        <x:v>MEROPENEM BIO CHIMICO</x:v>
      </x:c>
      <x:c r="F343" s="22" t="str">
        <x:v>500MG</x:v>
      </x:c>
      <x:c r="G343" s="22" t="str"/>
      <x:c r="H343" s="22" t="str">
        <x:v>CX/10 | CX | CONTEUDO10 | FATOR10</x:v>
      </x:c>
      <x:c r="I343" s="22" t="str">
        <x:v>CAIXA</x:v>
      </x:c>
      <x:c r="J343" s="22" t="str">
        <x:v>BIOCHIMICO</x:v>
      </x:c>
      <x:c r="K343" s="28" t="str">
        <x:f>"GTIN: 7897406111590"</x:f>
        <x:v>GTIN: 7897406111590</x:v>
      </x:c>
      <x:c r="L343" s="28" t="str">
        <x:f>"30042099"</x:f>
        <x:v>30042099</x:v>
      </x:c>
      <x:c r="M343" s="22" t="str">
        <x:v>UN</x:v>
      </x:c>
      <x:c r="N343" s="22" t="str">
        <x:v>CX</x:v>
      </x:c>
      <x:c r="O343" s="22" t="n">
        <x:v>10</x:v>
      </x:c>
      <x:c r="P343" s="28" t="str">
        <x:f>"598"</x:f>
        <x:v>598</x:v>
      </x:c>
      <x:c r="Q343" s="28" t="str">
        <x:f>"M5B0001"</x:f>
        <x:v>M5B0001</x:v>
      </x:c>
    </x:row>
    <x:row r="344">
      <x:c r="A344" s="22" t="n">
        <x:v>340</x:v>
      </x:c>
      <x:c r="B344" s="28" t="str">
        <x:f>"M5-0006"</x:f>
        <x:v>M5-0006</x:v>
      </x:c>
      <x:c r="C344" s="22" t="str">
        <x:v>MEROPENEM 500MG - CX/25 - BIO CHIMICO</x:v>
      </x:c>
      <x:c r="D344" s="22" t="str">
        <x:v>MEROPENEM BIO CHIMICO</x:v>
      </x:c>
      <x:c r="E344" s="22" t="str">
        <x:v>MEROPENEM BIO CHIMICO</x:v>
      </x:c>
      <x:c r="F344" s="22" t="str">
        <x:v>500MG</x:v>
      </x:c>
      <x:c r="G344" s="22" t="str"/>
      <x:c r="H344" s="22" t="str">
        <x:v>CX/25 | CX | CONTEUDO10 | FATOR10</x:v>
      </x:c>
      <x:c r="I344" s="22" t="str">
        <x:v>CAIXA</x:v>
      </x:c>
      <x:c r="J344" s="22" t="str">
        <x:v>BIOCHIMICO</x:v>
      </x:c>
      <x:c r="K344" s="28" t="str">
        <x:f>"GTIN: 7897406111590"</x:f>
        <x:v>GTIN: 7897406111590</x:v>
      </x:c>
      <x:c r="L344" s="28" t="str">
        <x:f>"30042099"</x:f>
        <x:v>30042099</x:v>
      </x:c>
      <x:c r="M344" s="22" t="str">
        <x:v>UN</x:v>
      </x:c>
      <x:c r="N344" s="22" t="str">
        <x:v>CX</x:v>
      </x:c>
      <x:c r="O344" s="22" t="n">
        <x:v>10</x:v>
      </x:c>
      <x:c r="P344" s="28" t="str">
        <x:f>"599"</x:f>
        <x:v>599</x:v>
      </x:c>
      <x:c r="Q344" s="28" t="str">
        <x:f>"M5-0006"</x:f>
        <x:v>M5-0006</x:v>
      </x:c>
    </x:row>
    <x:row r="345">
      <x:c r="A345" s="22" t="n">
        <x:v>341</x:v>
      </x:c>
      <x:c r="B345" s="28" t="str">
        <x:f>"M1C0001"</x:f>
        <x:v>M1C0001</x:v>
      </x:c>
      <x:c r="C345" s="22" t="str">
        <x:v>MEROPENEM 500MG CX/10 - FRESENIUS</x:v>
      </x:c>
      <x:c r="D345" s="22" t="str">
        <x:v>MEROPENEM</x:v>
      </x:c>
      <x:c r="E345" s="22" t="str">
        <x:v>MEROPENEM</x:v>
      </x:c>
      <x:c r="F345" s="22" t="str">
        <x:v>500MG</x:v>
      </x:c>
      <x:c r="G345" s="22" t="str"/>
      <x:c r="H345" s="22" t="str">
        <x:v>CX/10 | CX | CONTEUDO10 | FATOR10</x:v>
      </x:c>
      <x:c r="I345" s="22" t="str">
        <x:v>CAIXA</x:v>
      </x:c>
      <x:c r="J345" s="22" t="str">
        <x:v>FRESENIUS</x:v>
      </x:c>
      <x:c r="K345" s="28" t="str">
        <x:f>"GTIN: 7898560664175"</x:f>
        <x:v>GTIN: 7898560664175</x:v>
      </x:c>
      <x:c r="L345" s="28" t="str">
        <x:f>"30042099"</x:f>
        <x:v>30042099</x:v>
      </x:c>
      <x:c r="M345" s="22" t="str">
        <x:v>UN</x:v>
      </x:c>
      <x:c r="N345" s="22" t="str">
        <x:v>CX</x:v>
      </x:c>
      <x:c r="O345" s="22" t="n">
        <x:v>10</x:v>
      </x:c>
      <x:c r="P345" s="28" t="str">
        <x:f>"600"</x:f>
        <x:v>600</x:v>
      </x:c>
      <x:c r="Q345" s="28" t="str">
        <x:f>"M1C0001"</x:f>
        <x:v>M1C0001</x:v>
      </x:c>
    </x:row>
    <x:row r="346">
      <x:c r="A346" s="22" t="n">
        <x:v>342</x:v>
      </x:c>
      <x:c r="B346" s="28" t="str">
        <x:f>"M1B0007"</x:f>
        <x:v>M1B0007</x:v>
      </x:c>
      <x:c r="C346" s="22" t="str">
        <x:v>METILPREDILISONA 125MG - CX/25 - BLAU</x:v>
      </x:c>
      <x:c r="D346" s="22" t="str">
        <x:v>METILPREDILISONA</x:v>
      </x:c>
      <x:c r="E346" s="22" t="str">
        <x:v>METILPREDILISONA</x:v>
      </x:c>
      <x:c r="F346" s="22" t="str">
        <x:v>125MG</x:v>
      </x:c>
      <x:c r="G346" s="22" t="str"/>
      <x:c r="H346" s="22" t="str">
        <x:v>CX/25 | CX | CONTEUDO25 | FATOR25</x:v>
      </x:c>
      <x:c r="I346" s="22" t="str">
        <x:v>CAIXA</x:v>
      </x:c>
      <x:c r="J346" s="22" t="str">
        <x:v>BLAU</x:v>
      </x:c>
      <x:c r="K346" s="28" t="str">
        <x:f>"GTIN: 7896014689118"</x:f>
        <x:v>GTIN: 7896014689118</x:v>
      </x:c>
      <x:c r="L346" s="28" t="str">
        <x:f>"30043210"</x:f>
        <x:v>30043210</x:v>
      </x:c>
      <x:c r="M346" s="22" t="str">
        <x:v>UN</x:v>
      </x:c>
      <x:c r="N346" s="22" t="str">
        <x:v>CX</x:v>
      </x:c>
      <x:c r="O346" s="22" t="n">
        <x:v>25</x:v>
      </x:c>
      <x:c r="P346" s="28" t="str">
        <x:f>"601"</x:f>
        <x:v>601</x:v>
      </x:c>
      <x:c r="Q346" s="28" t="str">
        <x:f>"M1B0007"</x:f>
        <x:v>M1B0007</x:v>
      </x:c>
    </x:row>
    <x:row r="347">
      <x:c r="A347" s="22" t="n">
        <x:v>343</x:v>
      </x:c>
      <x:c r="B347" s="28" t="str">
        <x:f>"M1B0008"</x:f>
        <x:v>M1B0008</x:v>
      </x:c>
      <x:c r="C347" s="22" t="str">
        <x:v>METILPREDILISONA 125MG BLAU CX/25</x:v>
      </x:c>
      <x:c r="D347" s="22" t="str">
        <x:v>METILPREDILISONA</x:v>
      </x:c>
      <x:c r="E347" s="22" t="str">
        <x:v>METILPREDILISONA</x:v>
      </x:c>
      <x:c r="F347" s="22" t="str">
        <x:v>125MG</x:v>
      </x:c>
      <x:c r="G347" s="22" t="str"/>
      <x:c r="H347" s="22" t="str">
        <x:v>CX/25 | UND</x:v>
      </x:c>
      <x:c r="I347" s="22" t="str">
        <x:v>UNIDADE</x:v>
      </x:c>
      <x:c r="J347" s="22" t="str">
        <x:v>BLAU</x:v>
      </x:c>
      <x:c r="K347" s="28" t="str">
        <x:f>"GTIN: 07896014689118"</x:f>
        <x:v>GTIN: 07896014689118</x:v>
      </x:c>
      <x:c r="L347" s="28" t="str">
        <x:f>"30043210"</x:f>
        <x:v>30043210</x:v>
      </x:c>
      <x:c r="M347" s="22" t="str">
        <x:v>UND</x:v>
      </x:c>
      <x:c r="N347" s="22" t="str">
        <x:v>UND</x:v>
      </x:c>
      <x:c r="O347" s="22" t="n">
        <x:v>1</x:v>
      </x:c>
      <x:c r="P347" s="28" t="str">
        <x:f>"602"</x:f>
        <x:v>602</x:v>
      </x:c>
      <x:c r="Q347" s="28" t="str">
        <x:f>"M1B0008"</x:f>
        <x:v>M1B0008</x:v>
      </x:c>
    </x:row>
    <x:row r="348">
      <x:c r="A348" s="22" t="n">
        <x:v>344</x:v>
      </x:c>
      <x:c r="B348" s="28" t="str">
        <x:f>"M5-0004"</x:f>
        <x:v>M5-0004</x:v>
      </x:c>
      <x:c r="C348" s="22" t="str">
        <x:v>MICROPORE 10CMX4,5M - CX/24 - MISSNER</x:v>
      </x:c>
      <x:c r="D348" s="22" t="str">
        <x:v>MICROPORE 10CMX4 5M</x:v>
      </x:c>
      <x:c r="E348" s="22" t="str">
        <x:v>MICROPORE 10CMX4 5M</x:v>
      </x:c>
      <x:c r="F348" s="22" t="str"/>
      <x:c r="G348" s="22" t="str"/>
      <x:c r="H348" s="22" t="str">
        <x:v>CX/24 | CX | CONTEUDO24 | FATOR24</x:v>
      </x:c>
      <x:c r="I348" s="22" t="str">
        <x:v>CAIXA</x:v>
      </x:c>
      <x:c r="J348" s="22" t="str">
        <x:v>MISSNER</x:v>
      </x:c>
      <x:c r="K348" s="28" t="str">
        <x:f>"GTIN: 7891800202304"</x:f>
        <x:v>GTIN: 7891800202304</x:v>
      </x:c>
      <x:c r="L348" s="28" t="str">
        <x:f>"30051030"</x:f>
        <x:v>30051030</x:v>
      </x:c>
      <x:c r="M348" s="22" t="str">
        <x:v>UN</x:v>
      </x:c>
      <x:c r="N348" s="22" t="str">
        <x:v>CX</x:v>
      </x:c>
      <x:c r="O348" s="22" t="n">
        <x:v>24</x:v>
      </x:c>
      <x:c r="P348" s="28" t="str">
        <x:f>"603"</x:f>
        <x:v>603</x:v>
      </x:c>
      <x:c r="Q348" s="28" t="str">
        <x:f>"M5-0004"</x:f>
        <x:v>M5-0004</x:v>
      </x:c>
    </x:row>
    <x:row r="349">
      <x:c r="A349" s="22" t="n">
        <x:v>345</x:v>
      </x:c>
      <x:c r="B349" s="28" t="str">
        <x:f>"M5X0004"</x:f>
        <x:v>M5X0004</x:v>
      </x:c>
      <x:c r="C349" s="22" t="str">
        <x:v>MICROPORE 25MMX10M - CX/80 - 3M</x:v>
      </x:c>
      <x:c r="D349" s="22" t="str">
        <x:v>MICROPORE 25MMX10M</x:v>
      </x:c>
      <x:c r="E349" s="22" t="str">
        <x:v>MICROPORE 25MMX10M</x:v>
      </x:c>
      <x:c r="F349" s="22" t="str"/>
      <x:c r="G349" s="22" t="str"/>
      <x:c r="H349" s="22" t="str">
        <x:v>CX/80 | CX | CONTEUDO80 | FATOR80</x:v>
      </x:c>
      <x:c r="I349" s="22" t="str">
        <x:v>CAIXA</x:v>
      </x:c>
      <x:c r="J349" s="22" t="str">
        <x:v>3M</x:v>
      </x:c>
      <x:c r="K349" s="28" t="str">
        <x:f>"GTIN: 7891040034642"</x:f>
        <x:v>GTIN: 7891040034642</x:v>
      </x:c>
      <x:c r="L349" s="28" t="str">
        <x:f>"30051030"</x:f>
        <x:v>30051030</x:v>
      </x:c>
      <x:c r="M349" s="22" t="str">
        <x:v>UN</x:v>
      </x:c>
      <x:c r="N349" s="22" t="str">
        <x:v>CX</x:v>
      </x:c>
      <x:c r="O349" s="22" t="n">
        <x:v>80</x:v>
      </x:c>
      <x:c r="P349" s="28" t="str">
        <x:f>"604"</x:f>
        <x:v>604</x:v>
      </x:c>
      <x:c r="Q349" s="28" t="str">
        <x:f>"M5X0004"</x:f>
        <x:v>M5X0004</x:v>
      </x:c>
    </x:row>
    <x:row r="350">
      <x:c r="A350" s="22" t="n">
        <x:v>346</x:v>
      </x:c>
      <x:c r="B350" s="28" t="str">
        <x:f>"M5-0005"</x:f>
        <x:v>M5-0005</x:v>
      </x:c>
      <x:c r="C350" s="22" t="str">
        <x:v>MICROPORE 50MMX10M - CX/36 - CIEX DO BRASIL</x:v>
      </x:c>
      <x:c r="D350" s="22" t="str">
        <x:v>MICROPORE 50MMX10M</x:v>
      </x:c>
      <x:c r="E350" s="22" t="str">
        <x:v>MICROPORE 50MMX10M</x:v>
      </x:c>
      <x:c r="F350" s="22" t="str"/>
      <x:c r="G350" s="22" t="str"/>
      <x:c r="H350" s="22" t="str">
        <x:v>CX/36 | CX | CONTEUDO36 | FATOR36</x:v>
      </x:c>
      <x:c r="I350" s="22" t="str">
        <x:v>CAIXA</x:v>
      </x:c>
      <x:c r="J350" s="22" t="str">
        <x:v>CIEX DO BRASIL</x:v>
      </x:c>
      <x:c r="K350" s="28" t="str">
        <x:f>"GTIN: 7891040010745"</x:f>
        <x:v>GTIN: 7891040010745</x:v>
      </x:c>
      <x:c r="L350" s="28" t="str">
        <x:f>"30051030"</x:f>
        <x:v>30051030</x:v>
      </x:c>
      <x:c r="M350" s="22" t="str">
        <x:v>UN</x:v>
      </x:c>
      <x:c r="N350" s="22" t="str">
        <x:v>CX</x:v>
      </x:c>
      <x:c r="O350" s="22" t="n">
        <x:v>36</x:v>
      </x:c>
      <x:c r="P350" s="28" t="str">
        <x:f>"605"</x:f>
        <x:v>605</x:v>
      </x:c>
      <x:c r="Q350" s="28" t="str">
        <x:f>"M5-0005"</x:f>
        <x:v>M5-0005</x:v>
      </x:c>
    </x:row>
    <x:row r="351">
      <x:c r="A351" s="22" t="n">
        <x:v>347</x:v>
      </x:c>
      <x:c r="B351" s="28" t="str">
        <x:f>"M2-0001"</x:f>
        <x:v>M2-0001</x:v>
      </x:c>
      <x:c r="C351" s="22" t="str">
        <x:v>MICROPORE 5CMX10M - CX/36 - CREMER</x:v>
      </x:c>
      <x:c r="D351" s="22" t="str">
        <x:v>MICROPORE 5CMX10M</x:v>
      </x:c>
      <x:c r="E351" s="22" t="str">
        <x:v>MICROPORE 5CMX10M</x:v>
      </x:c>
      <x:c r="F351" s="22" t="str"/>
      <x:c r="G351" s="22" t="str"/>
      <x:c r="H351" s="22" t="str">
        <x:v>CX/36 | CX | CONTEUDO36 | FATOR36</x:v>
      </x:c>
      <x:c r="I351" s="22" t="str">
        <x:v>CAIXA</x:v>
      </x:c>
      <x:c r="J351" s="22" t="str">
        <x:v>CREMER</x:v>
      </x:c>
      <x:c r="K351" s="28" t="str"/>
      <x:c r="L351" s="28" t="str">
        <x:f>"30051030"</x:f>
        <x:v>30051030</x:v>
      </x:c>
      <x:c r="M351" s="22" t="str">
        <x:v>UN</x:v>
      </x:c>
      <x:c r="N351" s="22" t="str">
        <x:v>CX</x:v>
      </x:c>
      <x:c r="O351" s="22" t="n">
        <x:v>36</x:v>
      </x:c>
      <x:c r="P351" s="28" t="str">
        <x:f>"606"</x:f>
        <x:v>606</x:v>
      </x:c>
      <x:c r="Q351" s="28" t="str">
        <x:f>"M2-0001"</x:f>
        <x:v>M2-0001</x:v>
      </x:c>
    </x:row>
    <x:row r="352">
      <x:c r="A352" s="22" t="n">
        <x:v>348</x:v>
      </x:c>
      <x:c r="B352" s="28" t="str">
        <x:f>"M1A0004"</x:f>
        <x:v>M1A0004</x:v>
      </x:c>
      <x:c r="C352" s="22" t="str">
        <x:v>MIDAZOLAM 15MG/3ML AP - HIPOLABOR</x:v>
      </x:c>
      <x:c r="D352" s="22" t="str">
        <x:v>MIDAZOLAM</x:v>
      </x:c>
      <x:c r="E352" s="22" t="str">
        <x:v>MIDAZOLAM</x:v>
      </x:c>
      <x:c r="F352" s="22" t="str">
        <x:v>15MG/3ML | 15MG | 3ML</x:v>
      </x:c>
      <x:c r="G352" s="22" t="str"/>
      <x:c r="H352" s="22" t="str">
        <x:v>AP | UN</x:v>
      </x:c>
      <x:c r="I352" s="22" t="str">
        <x:v>UNIDADE</x:v>
      </x:c>
      <x:c r="J352" s="22" t="str">
        <x:v>HIPOLABOR</x:v>
      </x:c>
      <x:c r="K352" s="28" t="str"/>
      <x:c r="L352" s="28" t="str">
        <x:f>"30049069"</x:f>
        <x:v>30049069</x:v>
      </x:c>
      <x:c r="M352" s="22" t="str">
        <x:v>UN</x:v>
      </x:c>
      <x:c r="N352" s="22" t="str">
        <x:v>UN</x:v>
      </x:c>
      <x:c r="O352" s="22" t="n">
        <x:v>1</x:v>
      </x:c>
      <x:c r="P352" s="28" t="str">
        <x:f>"607"</x:f>
        <x:v>607</x:v>
      </x:c>
      <x:c r="Q352" s="28" t="str">
        <x:f>"M1A0004"</x:f>
        <x:v>M1A0004</x:v>
      </x:c>
    </x:row>
    <x:row r="353">
      <x:c r="A353" s="22" t="n">
        <x:v>349</x:v>
      </x:c>
      <x:c r="B353" s="28" t="str">
        <x:f>"M1A0001"</x:f>
        <x:v>M1A0001</x:v>
      </x:c>
      <x:c r="C353" s="22" t="str">
        <x:v>MIDAZOLAM 15MG/3ML AP - TEUTO</x:v>
      </x:c>
      <x:c r="D353" s="22" t="str">
        <x:v>MIDAZOLAM</x:v>
      </x:c>
      <x:c r="E353" s="22" t="str">
        <x:v>MIDAZOLAM</x:v>
      </x:c>
      <x:c r="F353" s="22" t="str">
        <x:v>15MG/3ML | 15MG | 3ML</x:v>
      </x:c>
      <x:c r="G353" s="22" t="str"/>
      <x:c r="H353" s="22" t="str">
        <x:v>AP | UN</x:v>
      </x:c>
      <x:c r="I353" s="22" t="str">
        <x:v>UNIDADE</x:v>
      </x:c>
      <x:c r="J353" s="22" t="str">
        <x:v>TEUTO</x:v>
      </x:c>
      <x:c r="K353" s="28" t="str"/>
      <x:c r="L353" s="28" t="str">
        <x:f>"30049069"</x:f>
        <x:v>30049069</x:v>
      </x:c>
      <x:c r="M353" s="22" t="str">
        <x:v>UN</x:v>
      </x:c>
      <x:c r="N353" s="22" t="str">
        <x:v>UN</x:v>
      </x:c>
      <x:c r="O353" s="22" t="n">
        <x:v>1</x:v>
      </x:c>
      <x:c r="P353" s="28" t="str">
        <x:f>"608 | 609"</x:f>
        <x:v>608 | 609</x:v>
      </x:c>
      <x:c r="Q353" s="28" t="str">
        <x:f>"M1A0001 | M1A0002"</x:f>
        <x:v>M1A0001 | M1A0002</x:v>
      </x:c>
    </x:row>
    <x:row r="354">
      <x:c r="A354" s="22" t="n">
        <x:v>350</x:v>
      </x:c>
      <x:c r="B354" s="28" t="str">
        <x:f>"M150002"</x:f>
        <x:v>M150002</x:v>
      </x:c>
      <x:c r="C354" s="22" t="str">
        <x:v>MIDAZOLAM 15MG/ML 3ML AP CX/05 - UNIÃO QUIMICA</x:v>
      </x:c>
      <x:c r="D354" s="22" t="str">
        <x:v>MIDAZOLAM</x:v>
      </x:c>
      <x:c r="E354" s="22" t="str">
        <x:v>MIDAZOLAM</x:v>
      </x:c>
      <x:c r="F354" s="22" t="str">
        <x:v>15MG/ML | 15MG | 3ML</x:v>
      </x:c>
      <x:c r="G354" s="22" t="str"/>
      <x:c r="H354" s="22" t="str">
        <x:v>AP | CX/05 | CX | CONTEUDO5 | FATOR5</x:v>
      </x:c>
      <x:c r="I354" s="22" t="str">
        <x:v>CAIXA</x:v>
      </x:c>
      <x:c r="J354" s="22" t="str">
        <x:v>UNIÃO QUIMICA</x:v>
      </x:c>
      <x:c r="K354" s="28" t="str"/>
      <x:c r="L354" s="28" t="str">
        <x:f>"30049069"</x:f>
        <x:v>30049069</x:v>
      </x:c>
      <x:c r="M354" s="22" t="str">
        <x:v>UN</x:v>
      </x:c>
      <x:c r="N354" s="22" t="str">
        <x:v>CX</x:v>
      </x:c>
      <x:c r="O354" s="22" t="n">
        <x:v>5</x:v>
      </x:c>
      <x:c r="P354" s="28" t="str">
        <x:f>"610"</x:f>
        <x:v>610</x:v>
      </x:c>
      <x:c r="Q354" s="28" t="str">
        <x:f>"M150002"</x:f>
        <x:v>M150002</x:v>
      </x:c>
    </x:row>
    <x:row r="355">
      <x:c r="A355" s="22" t="n">
        <x:v>351</x:v>
      </x:c>
      <x:c r="B355" s="28" t="str">
        <x:f>"M1A0003"</x:f>
        <x:v>M1A0003</x:v>
      </x:c>
      <x:c r="C355" s="22" t="str">
        <x:v>MIDAZOLAM 1MG/ML 5ML AP CX/05 - TEUTO</x:v>
      </x:c>
      <x:c r="D355" s="22" t="str">
        <x:v>MIDAZOLAM</x:v>
      </x:c>
      <x:c r="E355" s="22" t="str">
        <x:v>MIDAZOLAM</x:v>
      </x:c>
      <x:c r="F355" s="22" t="str">
        <x:v>1MG/ML | 1MG | 5ML</x:v>
      </x:c>
      <x:c r="G355" s="22" t="str"/>
      <x:c r="H355" s="22" t="str">
        <x:v>AP | CX/05 | CX | CONTEUDO5 | FATOR5</x:v>
      </x:c>
      <x:c r="I355" s="22" t="str">
        <x:v>CAIXA</x:v>
      </x:c>
      <x:c r="J355" s="22" t="str">
        <x:v>TEUTO</x:v>
      </x:c>
      <x:c r="K355" s="28" t="str"/>
      <x:c r="L355" s="28" t="str">
        <x:f>"30049069"</x:f>
        <x:v>30049069</x:v>
      </x:c>
      <x:c r="M355" s="22" t="str">
        <x:v>UN</x:v>
      </x:c>
      <x:c r="N355" s="22" t="str">
        <x:v>CX</x:v>
      </x:c>
      <x:c r="O355" s="22" t="n">
        <x:v>5</x:v>
      </x:c>
      <x:c r="P355" s="28" t="str">
        <x:f>"611"</x:f>
        <x:v>611</x:v>
      </x:c>
      <x:c r="Q355" s="28" t="str">
        <x:f>"M1A0003"</x:f>
        <x:v>M1A0003</x:v>
      </x:c>
    </x:row>
    <x:row r="356">
      <x:c r="A356" s="22" t="n">
        <x:v>352</x:v>
      </x:c>
      <x:c r="B356" s="28" t="str">
        <x:f>"M150001"</x:f>
        <x:v>M150001</x:v>
      </x:c>
      <x:c r="C356" s="22" t="str">
        <x:v>MIDAZOLAM 50MG/ML 10ML AP CX/05 - TEUTO</x:v>
      </x:c>
      <x:c r="D356" s="22" t="str">
        <x:v>MIDAZOLAM</x:v>
      </x:c>
      <x:c r="E356" s="22" t="str">
        <x:v>MIDAZOLAM</x:v>
      </x:c>
      <x:c r="F356" s="22" t="str">
        <x:v>50MG/ML | 50MG | 10ML</x:v>
      </x:c>
      <x:c r="G356" s="22" t="str"/>
      <x:c r="H356" s="22" t="str">
        <x:v>AP | CX/05 | CX | CONTEUDO5 | FATOR5</x:v>
      </x:c>
      <x:c r="I356" s="22" t="str">
        <x:v>CAIXA</x:v>
      </x:c>
      <x:c r="J356" s="22" t="str">
        <x:v>TEUTO</x:v>
      </x:c>
      <x:c r="K356" s="28" t="str"/>
      <x:c r="L356" s="28" t="str">
        <x:f>"30049069"</x:f>
        <x:v>30049069</x:v>
      </x:c>
      <x:c r="M356" s="22" t="str">
        <x:v>UN</x:v>
      </x:c>
      <x:c r="N356" s="22" t="str">
        <x:v>CX</x:v>
      </x:c>
      <x:c r="O356" s="22" t="n">
        <x:v>5</x:v>
      </x:c>
      <x:c r="P356" s="28" t="str">
        <x:f>"612"</x:f>
        <x:v>612</x:v>
      </x:c>
      <x:c r="Q356" s="28" t="str">
        <x:f>"M150001"</x:f>
        <x:v>M150001</x:v>
      </x:c>
    </x:row>
    <x:row r="357">
      <x:c r="A357" s="22" t="n">
        <x:v>353</x:v>
      </x:c>
      <x:c r="B357" s="28" t="str">
        <x:f>"NF20001"</x:f>
        <x:v>NF20001</x:v>
      </x:c>
      <x:c r="C357" s="22" t="str">
        <x:v>NEO FEDIPINA 20MG 30/CP NEO QUIMICA</x:v>
      </x:c>
      <x:c r="D357" s="22" t="str">
        <x:v>NEO FEDIPINA CP</x:v>
      </x:c>
      <x:c r="E357" s="22" t="str">
        <x:v>NEO FEDIPINA CP</x:v>
      </x:c>
      <x:c r="F357" s="22" t="str">
        <x:v>20MG</x:v>
      </x:c>
      <x:c r="G357" s="22" t="str"/>
      <x:c r="H357" s="22" t="str">
        <x:v>CT | CONTEUDO30 | FATOR30</x:v>
      </x:c>
      <x:c r="I357" s="22" t="str">
        <x:v>OUTRA</x:v>
      </x:c>
      <x:c r="J357" s="22" t="str">
        <x:v>NEO QUIMICA</x:v>
      </x:c>
      <x:c r="K357" s="28" t="str">
        <x:f>"GTIN: 7896714200125"</x:f>
        <x:v>GTIN: 7896714200125</x:v>
      </x:c>
      <x:c r="L357" s="28" t="str">
        <x:f>"30049062"</x:f>
        <x:v>30049062</x:v>
      </x:c>
      <x:c r="M357" s="22" t="str">
        <x:v>UN</x:v>
      </x:c>
      <x:c r="N357" s="22" t="str">
        <x:v>CT</x:v>
      </x:c>
      <x:c r="O357" s="22" t="n">
        <x:v>30</x:v>
      </x:c>
      <x:c r="P357" s="28" t="str">
        <x:f>"613"</x:f>
        <x:v>613</x:v>
      </x:c>
      <x:c r="Q357" s="28" t="str">
        <x:f>"NF20001"</x:f>
        <x:v>NF20001</x:v>
      </x:c>
    </x:row>
    <x:row r="358">
      <x:c r="A358" s="22" t="n">
        <x:v>354</x:v>
      </x:c>
      <x:c r="B358" s="28" t="str">
        <x:f>"N010001"</x:f>
        <x:v>N010001</x:v>
      </x:c>
      <x:c r="C358" s="22" t="str">
        <x:v>NEOSTIGMINA 0,5MG/ML 1ML AP CX/05 - BLAU - 25061361</x:v>
      </x:c>
      <x:c r="D358" s="22" t="str">
        <x:v>NEOSTIGMINA</x:v>
      </x:c>
      <x:c r="E358" s="22" t="str">
        <x:v>NEOSTIGMINA</x:v>
      </x:c>
      <x:c r="F358" s="22" t="str">
        <x:v>0,5MG/ML | 0,5MG | 1ML</x:v>
      </x:c>
      <x:c r="G358" s="22" t="str"/>
      <x:c r="H358" s="22" t="str">
        <x:v>AP | CX/05 | UN</x:v>
      </x:c>
      <x:c r="I358" s="22" t="str">
        <x:v>UNIDADE</x:v>
      </x:c>
      <x:c r="J358" s="22" t="str">
        <x:v>BLAU</x:v>
      </x:c>
      <x:c r="K358" s="28" t="str"/>
      <x:c r="L358" s="28" t="str">
        <x:f>"30049099"</x:f>
        <x:v>30049099</x:v>
      </x:c>
      <x:c r="M358" s="22" t="str">
        <x:v>UN</x:v>
      </x:c>
      <x:c r="N358" s="22" t="str">
        <x:v>UN</x:v>
      </x:c>
      <x:c r="O358" s="22" t="n">
        <x:v>1</x:v>
      </x:c>
      <x:c r="P358" s="28" t="str">
        <x:f>"614"</x:f>
        <x:v>614</x:v>
      </x:c>
      <x:c r="Q358" s="28" t="str">
        <x:f>"N010001"</x:f>
        <x:v>N010001</x:v>
      </x:c>
    </x:row>
    <x:row r="359">
      <x:c r="A359" s="22" t="n">
        <x:v>355</x:v>
      </x:c>
      <x:c r="B359" s="28" t="str">
        <x:f>"NE20002"</x:f>
        <x:v>NE20002</x:v>
      </x:c>
      <x:c r="C359" s="22" t="str">
        <x:v>NEURO ESPONJA 2.5X7.6 CM DETECTÁVEL AO RAIO-X - PCT/ 10 - DEROYAL</x:v>
      </x:c>
      <x:c r="D359" s="22" t="str">
        <x:v>NEURO ESPONJA DETECTAVEL AO RAIO X</x:v>
      </x:c>
      <x:c r="E359" s="22" t="str">
        <x:v>NEURO ESPONJA DETECTAVEL</x:v>
      </x:c>
      <x:c r="F359" s="22" t="str"/>
      <x:c r="G359" s="22" t="str">
        <x:v>2.5X7.6CM</x:v>
      </x:c>
      <x:c r="H359" s="22" t="str">
        <x:v>PCT/10 | PCT | CONTEUDO1</x:v>
      </x:c>
      <x:c r="I359" s="22" t="str">
        <x:v>OUTRA</x:v>
      </x:c>
      <x:c r="J359" s="22" t="str">
        <x:v>DEROYAL</x:v>
      </x:c>
      <x:c r="K359" s="28" t="str">
        <x:f>"GTIN: 40080196286585"</x:f>
        <x:v>GTIN: 40080196286585</x:v>
      </x:c>
      <x:c r="L359" s="28" t="str">
        <x:f>"30064020"</x:f>
        <x:v>30064020</x:v>
      </x:c>
      <x:c r="M359" s="22" t="str">
        <x:v>UN</x:v>
      </x:c>
      <x:c r="N359" s="22" t="str">
        <x:v>PCT</x:v>
      </x:c>
      <x:c r="O359" s="22" t="n">
        <x:v>1</x:v>
      </x:c>
      <x:c r="P359" s="28" t="str">
        <x:f>"615 | 616 | 617"</x:f>
        <x:v>615 | 616 | 617</x:v>
      </x:c>
      <x:c r="Q359" s="28" t="str">
        <x:f>"NE20002 | NE20001 | NE20003"</x:f>
        <x:v>NE20002 | NE20001 | NE20003</x:v>
      </x:c>
    </x:row>
    <x:row r="360">
      <x:c r="A360" s="22" t="n">
        <x:v>356</x:v>
      </x:c>
      <x:c r="B360" s="28" t="str">
        <x:f>"N510002"</x:f>
        <x:v>N510002</x:v>
      </x:c>
      <x:c r="C360" s="22" t="str">
        <x:v>NITROGLICERINA 5MG/ML 10ML - CX/10 - CRISTALIA (TRIDIL)</x:v>
      </x:c>
      <x:c r="D360" s="22" t="str">
        <x:v>NITROGLICERINA</x:v>
      </x:c>
      <x:c r="E360" s="22" t="str">
        <x:v>NITROGLICERINA</x:v>
      </x:c>
      <x:c r="F360" s="22" t="str">
        <x:v>5MG/ML | 5MG | 10ML</x:v>
      </x:c>
      <x:c r="G360" s="22" t="str"/>
      <x:c r="H360" s="22" t="str">
        <x:v>CX/10 | CX | CONTEUDO10 | FATOR10</x:v>
      </x:c>
      <x:c r="I360" s="22" t="str">
        <x:v>CAIXA</x:v>
      </x:c>
      <x:c r="J360" s="22" t="str">
        <x:v>CRISTALIA</x:v>
      </x:c>
      <x:c r="K360" s="28" t="str"/>
      <x:c r="L360" s="28" t="str">
        <x:f>"30049099"</x:f>
        <x:v>30049099</x:v>
      </x:c>
      <x:c r="M360" s="22" t="str">
        <x:v>UN</x:v>
      </x:c>
      <x:c r="N360" s="22" t="str">
        <x:v>CX</x:v>
      </x:c>
      <x:c r="O360" s="22" t="n">
        <x:v>10</x:v>
      </x:c>
      <x:c r="P360" s="28" t="str">
        <x:f>"618 | 619"</x:f>
        <x:v>618 | 619</x:v>
      </x:c>
      <x:c r="Q360" s="28" t="str">
        <x:f>"N510002 | T5-0006"</x:f>
        <x:v>N510002 | T5-0006</x:v>
      </x:c>
    </x:row>
    <x:row r="361">
      <x:c r="A361" s="22" t="n">
        <x:v>357</x:v>
      </x:c>
      <x:c r="B361" s="28" t="str">
        <x:f>"N550003"</x:f>
        <x:v>N550003</x:v>
      </x:c>
      <x:c r="C361" s="22" t="str">
        <x:v>NITROGLICERINA 5MG/ML 5ML - CX/10 - CRISTALIA (TRIDIL)</x:v>
      </x:c>
      <x:c r="D361" s="22" t="str">
        <x:v>NITROGLICERINA</x:v>
      </x:c>
      <x:c r="E361" s="22" t="str">
        <x:v>NITROGLICERINA</x:v>
      </x:c>
      <x:c r="F361" s="22" t="str">
        <x:v>5MG/ML | 5MG | 5ML</x:v>
      </x:c>
      <x:c r="G361" s="22" t="str"/>
      <x:c r="H361" s="22" t="str">
        <x:v>CX/10 | CX | CONTEUDO10 | FATOR10</x:v>
      </x:c>
      <x:c r="I361" s="22" t="str">
        <x:v>CAIXA</x:v>
      </x:c>
      <x:c r="J361" s="22" t="str">
        <x:v>CRISTALIA</x:v>
      </x:c>
      <x:c r="K361" s="28" t="str">
        <x:f>"GTIN: 7896676415308"</x:f>
        <x:v>GTIN: 7896676415308</x:v>
      </x:c>
      <x:c r="L361" s="28" t="str">
        <x:f>"30049099"</x:f>
        <x:v>30049099</x:v>
      </x:c>
      <x:c r="M361" s="22" t="str">
        <x:v>UN</x:v>
      </x:c>
      <x:c r="N361" s="22" t="str">
        <x:v>CX</x:v>
      </x:c>
      <x:c r="O361" s="22" t="n">
        <x:v>10</x:v>
      </x:c>
      <x:c r="P361" s="28" t="str">
        <x:f>"620 | 621 | 622 | 623 | 624"</x:f>
        <x:v>620 | 621 | 622 | 623 | 624</x:v>
      </x:c>
      <x:c r="Q361" s="28" t="str">
        <x:f>"N550005 | N550004 | N550002 | N550001 | N550003"</x:f>
        <x:v>N550005 | N550004 | N550002 | N550001 | N550003</x:v>
      </x:c>
    </x:row>
    <x:row r="362">
      <x:c r="A362" s="22" t="n">
        <x:v>358</x:v>
      </x:c>
      <x:c r="B362" s="28" t="str">
        <x:f>"NN20001"</x:f>
        <x:v>NN20001</x:v>
      </x:c>
      <x:c r="C362" s="22" t="str">
        <x:v>NITROP NITROPRUSSETO 25MG/2ML - CX/5 - HYPOFARMA</x:v>
      </x:c>
      <x:c r="D362" s="22" t="str">
        <x:v>NITROP NITROPRUSSETO</x:v>
      </x:c>
      <x:c r="E362" s="22" t="str">
        <x:v>NITROP NITROPRUSSETO</x:v>
      </x:c>
      <x:c r="F362" s="22" t="str">
        <x:v>25MG/2ML | 25MG | 2ML</x:v>
      </x:c>
      <x:c r="G362" s="22" t="str"/>
      <x:c r="H362" s="22" t="str">
        <x:v>CX/5 | CX | CONTEUDO5 | FATOR5</x:v>
      </x:c>
      <x:c r="I362" s="22" t="str">
        <x:v>CAIXA</x:v>
      </x:c>
      <x:c r="J362" s="22" t="str">
        <x:v>HYPOFARMA</x:v>
      </x:c>
      <x:c r="K362" s="28" t="str">
        <x:f>"GTIN: 7898122912843"</x:f>
        <x:v>GTIN: 7898122912843</x:v>
      </x:c>
      <x:c r="L362" s="28" t="str">
        <x:f>"30049099"</x:f>
        <x:v>30049099</x:v>
      </x:c>
      <x:c r="M362" s="22" t="str">
        <x:v>UN</x:v>
      </x:c>
      <x:c r="N362" s="22" t="str">
        <x:v>CX</x:v>
      </x:c>
      <x:c r="O362" s="22" t="n">
        <x:v>5</x:v>
      </x:c>
      <x:c r="P362" s="28" t="str">
        <x:f>"625 | 626"</x:f>
        <x:v>625 | 626</x:v>
      </x:c>
      <x:c r="Q362" s="28" t="str">
        <x:f>"NN20001 | N2-0001"</x:f>
        <x:v>NN20001 | N2-0001</x:v>
      </x:c>
    </x:row>
    <x:row r="363">
      <x:c r="A363" s="22" t="n">
        <x:v>359</x:v>
      </x:c>
      <x:c r="B363" s="28" t="str">
        <x:f>"N2C0001"</x:f>
        <x:v>N2C0001</x:v>
      </x:c>
      <x:c r="C363" s="22" t="str">
        <x:v>NITROPRUSSETO 25MG/2ML - CX/5 - HYPOFARMA</x:v>
      </x:c>
      <x:c r="D363" s="22" t="str">
        <x:v>NITROPRUSSETO</x:v>
      </x:c>
      <x:c r="E363" s="22" t="str">
        <x:v>NITROPRUSSETO</x:v>
      </x:c>
      <x:c r="F363" s="22" t="str">
        <x:v>25MG/2ML | 25MG | 2ML</x:v>
      </x:c>
      <x:c r="G363" s="22" t="str"/>
      <x:c r="H363" s="22" t="str">
        <x:v>CX/5 | CX | CONTEUDO5 | FATOR5</x:v>
      </x:c>
      <x:c r="I363" s="22" t="str">
        <x:v>CAIXA</x:v>
      </x:c>
      <x:c r="J363" s="22" t="str">
        <x:v>HYPOFARMA</x:v>
      </x:c>
      <x:c r="K363" s="28" t="str">
        <x:f>"GTIN: 7898122912843"</x:f>
        <x:v>GTIN: 7898122912843</x:v>
      </x:c>
      <x:c r="L363" s="28" t="str">
        <x:f>"30049099"</x:f>
        <x:v>30049099</x:v>
      </x:c>
      <x:c r="M363" s="22" t="str">
        <x:v>UN</x:v>
      </x:c>
      <x:c r="N363" s="22" t="str">
        <x:v>CX</x:v>
      </x:c>
      <x:c r="O363" s="22" t="n">
        <x:v>5</x:v>
      </x:c>
      <x:c r="P363" s="28" t="str">
        <x:f>"627"</x:f>
        <x:v>627</x:v>
      </x:c>
      <x:c r="Q363" s="28" t="str">
        <x:f>"N2C0001"</x:f>
        <x:v>N2C0001</x:v>
      </x:c>
    </x:row>
    <x:row r="364">
      <x:c r="A364" s="22" t="n">
        <x:v>360</x:v>
      </x:c>
      <x:c r="B364" s="28" t="str">
        <x:f>"N2-0005"</x:f>
        <x:v>N2-0005</x:v>
      </x:c>
      <x:c r="C364" s="22" t="str">
        <x:v>NITROPRUSSETO DE SÓDIO 50MG/2ML - CX/5 - CRISTÁLIA</x:v>
      </x:c>
      <x:c r="D364" s="22" t="str">
        <x:v>NITROPRUSSETO SODIO</x:v>
      </x:c>
      <x:c r="E364" s="22" t="str">
        <x:v>NITROPRUSSETO SODIO</x:v>
      </x:c>
      <x:c r="F364" s="22" t="str">
        <x:v>50MG/2ML | 50MG | 2ML</x:v>
      </x:c>
      <x:c r="G364" s="22" t="str"/>
      <x:c r="H364" s="22" t="str">
        <x:v>CX/5 | CX | CONTEUDO5 | FATOR5</x:v>
      </x:c>
      <x:c r="I364" s="22" t="str">
        <x:v>CAIXA</x:v>
      </x:c>
      <x:c r="J364" s="22" t="str">
        <x:v>CRISTÁLIA</x:v>
      </x:c>
      <x:c r="K364" s="28" t="str">
        <x:f>"GTIN: 7896676403688"</x:f>
        <x:v>GTIN: 7896676403688</x:v>
      </x:c>
      <x:c r="L364" s="28" t="str">
        <x:f>"30049099"</x:f>
        <x:v>30049099</x:v>
      </x:c>
      <x:c r="M364" s="22" t="str">
        <x:v>UN</x:v>
      </x:c>
      <x:c r="N364" s="22" t="str">
        <x:v>CX</x:v>
      </x:c>
      <x:c r="O364" s="22" t="n">
        <x:v>5</x:v>
      </x:c>
      <x:c r="P364" s="28" t="str">
        <x:f>"628"</x:f>
        <x:v>628</x:v>
      </x:c>
      <x:c r="Q364" s="28" t="str">
        <x:f>"N2-0005"</x:f>
        <x:v>N2-0005</x:v>
      </x:c>
    </x:row>
    <x:row r="365">
      <x:c r="A365" s="22" t="n">
        <x:v>361</x:v>
      </x:c>
      <x:c r="B365" s="28" t="str">
        <x:f>"NS50001"</x:f>
        <x:v>NS50001</x:v>
      </x:c>
      <x:c r="C365" s="22" t="str">
        <x:v>NITROPRUSSETO DE SÓDIO 50MG/2ML - CX/5 - HYPOFARMA</x:v>
      </x:c>
      <x:c r="D365" s="22" t="str">
        <x:v>NITROPRUSSETO SODIO</x:v>
      </x:c>
      <x:c r="E365" s="22" t="str">
        <x:v>NITROPRUSSETO SODIO</x:v>
      </x:c>
      <x:c r="F365" s="22" t="str">
        <x:v>50MG/2ML | 50MG | 2ML</x:v>
      </x:c>
      <x:c r="G365" s="22" t="str"/>
      <x:c r="H365" s="22" t="str">
        <x:v>CX/5 | CX | CONTEUDO5 | FATOR5</x:v>
      </x:c>
      <x:c r="I365" s="22" t="str">
        <x:v>CAIXA</x:v>
      </x:c>
      <x:c r="J365" s="22" t="str">
        <x:v>HYPOFARMA</x:v>
      </x:c>
      <x:c r="K365" s="28" t="str">
        <x:f>"GTIN: 7896676403688"</x:f>
        <x:v>GTIN: 7896676403688</x:v>
      </x:c>
      <x:c r="L365" s="28" t="str">
        <x:f>"30049099"</x:f>
        <x:v>30049099</x:v>
      </x:c>
      <x:c r="M365" s="22" t="str">
        <x:v>UN</x:v>
      </x:c>
      <x:c r="N365" s="22" t="str">
        <x:v>CX</x:v>
      </x:c>
      <x:c r="O365" s="22" t="n">
        <x:v>5</x:v>
      </x:c>
      <x:c r="P365" s="28" t="str">
        <x:f>"629"</x:f>
        <x:v>629</x:v>
      </x:c>
      <x:c r="Q365" s="28" t="str">
        <x:f>"NS50001"</x:f>
        <x:v>NS50001</x:v>
      </x:c>
    </x:row>
    <x:row r="366">
      <x:c r="A366" s="22" t="n">
        <x:v>362</x:v>
      </x:c>
      <x:c r="B366" s="28" t="str">
        <x:f>"O4B0002"</x:f>
        <x:v>O4B0002</x:v>
      </x:c>
      <x:c r="C366" s="22" t="str">
        <x:v>OMEPRAZOL 20MG CP HIPOLABOR CX/500</x:v>
      </x:c>
      <x:c r="D366" s="22" t="str">
        <x:v>OMEPRAZOL CP</x:v>
      </x:c>
      <x:c r="E366" s="22" t="str">
        <x:v>OMEPRAZOL CP</x:v>
      </x:c>
      <x:c r="F366" s="22" t="str">
        <x:v>20MG</x:v>
      </x:c>
      <x:c r="G366" s="22" t="str"/>
      <x:c r="H366" s="22" t="str">
        <x:v>CX/500 | 1C/20C</x:v>
      </x:c>
      <x:c r="I366" s="22" t="str">
        <x:v>OUTRA</x:v>
      </x:c>
      <x:c r="J366" s="22" t="str">
        <x:v>HIPOLABOR</x:v>
      </x:c>
      <x:c r="K366" s="28" t="str">
        <x:f>"GTIN: 7898470681156"</x:f>
        <x:v>GTIN: 7898470681156</x:v>
      </x:c>
      <x:c r="L366" s="28" t="str">
        <x:f>"30049069"</x:f>
        <x:v>30049069</x:v>
      </x:c>
      <x:c r="M366" s="22" t="str">
        <x:v>1C/20C</x:v>
      </x:c>
      <x:c r="N366" s="22" t="str">
        <x:v>1C/20C</x:v>
      </x:c>
      <x:c r="O366" s="22" t="n">
        <x:v>1</x:v>
      </x:c>
      <x:c r="P366" s="28" t="str">
        <x:f>"630"</x:f>
        <x:v>630</x:v>
      </x:c>
      <x:c r="Q366" s="28" t="str">
        <x:f>"O4B0002"</x:f>
        <x:v>O4B0002</x:v>
      </x:c>
    </x:row>
    <x:row r="367">
      <x:c r="A367" s="22" t="n">
        <x:v>363</x:v>
      </x:c>
      <x:c r="B367" s="28" t="str">
        <x:f>"O4U0002"</x:f>
        <x:v>O4U0002</x:v>
      </x:c>
      <x:c r="C367" s="22" t="str">
        <x:v>OMEPRAZOL 40MG - CX/50 - UNIÃO QUIMICA</x:v>
      </x:c>
      <x:c r="D367" s="22" t="str">
        <x:v>OMEPRAZOL</x:v>
      </x:c>
      <x:c r="E367" s="22" t="str">
        <x:v>OMEPRAZOL</x:v>
      </x:c>
      <x:c r="F367" s="22" t="str">
        <x:v>40MG</x:v>
      </x:c>
      <x:c r="G367" s="22" t="str"/>
      <x:c r="H367" s="22" t="str">
        <x:v>CX/50 | CX | CONTEUDO50 | FATOR50</x:v>
      </x:c>
      <x:c r="I367" s="22" t="str">
        <x:v>CAIXA</x:v>
      </x:c>
      <x:c r="J367" s="22" t="str">
        <x:v>UNIAO QUIMICA</x:v>
      </x:c>
      <x:c r="K367" s="28" t="str">
        <x:f>"GTIN: 07891317420024"</x:f>
        <x:v>GTIN: 07891317420024</x:v>
      </x:c>
      <x:c r="L367" s="28" t="str">
        <x:f>"30049069"</x:f>
        <x:v>30049069</x:v>
      </x:c>
      <x:c r="M367" s="22" t="str">
        <x:v>UN</x:v>
      </x:c>
      <x:c r="N367" s="22" t="str">
        <x:v>CX</x:v>
      </x:c>
      <x:c r="O367" s="22" t="n">
        <x:v>50</x:v>
      </x:c>
      <x:c r="P367" s="28" t="str">
        <x:f>"631"</x:f>
        <x:v>631</x:v>
      </x:c>
      <x:c r="Q367" s="28" t="str">
        <x:f>"O4U0002"</x:f>
        <x:v>O4U0002</x:v>
      </x:c>
    </x:row>
    <x:row r="368">
      <x:c r="A368" s="22" t="n">
        <x:v>364</x:v>
      </x:c>
      <x:c r="B368" s="28" t="str">
        <x:f>"O410002"</x:f>
        <x:v>O410002</x:v>
      </x:c>
      <x:c r="C368" s="22" t="str">
        <x:v>OMEPRAZOL 40MG 10ML - CX/25 - CRISTALIA</x:v>
      </x:c>
      <x:c r="D368" s="22" t="str">
        <x:v>OMEPRAZOL</x:v>
      </x:c>
      <x:c r="E368" s="22" t="str">
        <x:v>OMEPRAZOL</x:v>
      </x:c>
      <x:c r="F368" s="22" t="str">
        <x:v>40MG | 10ML</x:v>
      </x:c>
      <x:c r="G368" s="22" t="str"/>
      <x:c r="H368" s="22" t="str">
        <x:v>CX/25 | CX | CONTEUDO25 | FATOR25</x:v>
      </x:c>
      <x:c r="I368" s="22" t="str">
        <x:v>CAIXA</x:v>
      </x:c>
      <x:c r="J368" s="22" t="str">
        <x:v>CRISTALIA</x:v>
      </x:c>
      <x:c r="K368" s="28" t="str">
        <x:f>"GTIN: 7896676411379"</x:f>
        <x:v>GTIN: 7896676411379</x:v>
      </x:c>
      <x:c r="L368" s="28" t="str">
        <x:f>"30049069"</x:f>
        <x:v>30049069</x:v>
      </x:c>
      <x:c r="M368" s="22" t="str">
        <x:v>UN</x:v>
      </x:c>
      <x:c r="N368" s="22" t="str">
        <x:v>CX</x:v>
      </x:c>
      <x:c r="O368" s="22" t="n">
        <x:v>25</x:v>
      </x:c>
      <x:c r="P368" s="28" t="str">
        <x:f>"632"</x:f>
        <x:v>632</x:v>
      </x:c>
      <x:c r="Q368" s="28" t="str">
        <x:f>"O410002"</x:f>
        <x:v>O410002</x:v>
      </x:c>
    </x:row>
    <x:row r="369">
      <x:c r="A369" s="22" t="n">
        <x:v>365</x:v>
      </x:c>
      <x:c r="B369" s="28" t="str">
        <x:f>"O4-0004"</x:f>
        <x:v>O4-0004</x:v>
      </x:c>
      <x:c r="C369" s="22" t="str">
        <x:v>OMEPRAZOL 40MG/10ML - CX/20 - BLAU</x:v>
      </x:c>
      <x:c r="D369" s="22" t="str">
        <x:v>OMEPRAZOL</x:v>
      </x:c>
      <x:c r="E369" s="22" t="str">
        <x:v>OMEPRAZOL</x:v>
      </x:c>
      <x:c r="F369" s="22" t="str">
        <x:v>40MG/10ML | 40MG | 10ML</x:v>
      </x:c>
      <x:c r="G369" s="22" t="str"/>
      <x:c r="H369" s="22" t="str">
        <x:v>CX/20 | CX | CONTEUDO20 | FATOR20</x:v>
      </x:c>
      <x:c r="I369" s="22" t="str">
        <x:v>CAIXA</x:v>
      </x:c>
      <x:c r="J369" s="22" t="str">
        <x:v>BLAU</x:v>
      </x:c>
      <x:c r="K369" s="28" t="str">
        <x:f>"GTIN: 7896014688289"</x:f>
        <x:v>GTIN: 7896014688289</x:v>
      </x:c>
      <x:c r="L369" s="28" t="str">
        <x:f>"30049069"</x:f>
        <x:v>30049069</x:v>
      </x:c>
      <x:c r="M369" s="22" t="str">
        <x:v>UN</x:v>
      </x:c>
      <x:c r="N369" s="22" t="str">
        <x:v>CX</x:v>
      </x:c>
      <x:c r="O369" s="22" t="n">
        <x:v>20</x:v>
      </x:c>
      <x:c r="P369" s="28" t="str">
        <x:f>"633 | 634 | 635"</x:f>
        <x:v>633 | 634 | 635</x:v>
      </x:c>
      <x:c r="Q369" s="28" t="str">
        <x:f>"O4-0004 | O4B0008 | O4-0003"</x:f>
        <x:v>O4-0004 | O4B0008 | O4-0003</x:v>
      </x:c>
    </x:row>
    <x:row r="370">
      <x:c r="A370" s="22" t="n">
        <x:v>366</x:v>
      </x:c>
      <x:c r="B370" s="28" t="str">
        <x:f>"PC40001"</x:f>
        <x:v>PC40001</x:v>
      </x:c>
      <x:c r="C370" s="22" t="str">
        <x:v>PANO DE CHAO 43 X 63CM (M)</x:v>
      </x:c>
      <x:c r="D370" s="22" t="str">
        <x:v>PANO CHAO X</x:v>
      </x:c>
      <x:c r="E370" s="22" t="str">
        <x:v>PANO CHAO X</x:v>
      </x:c>
      <x:c r="F370" s="22" t="str"/>
      <x:c r="G370" s="22" t="str">
        <x:v>43X63CM</x:v>
      </x:c>
      <x:c r="H370" s="22" t="str">
        <x:v>UN</x:v>
      </x:c>
      <x:c r="I370" s="22" t="str">
        <x:v>UNIDADE</x:v>
      </x:c>
      <x:c r="J370" s="22" t="str">
        <x:v>S/M</x:v>
      </x:c>
      <x:c r="K370" s="28" t="str">
        <x:f>"GTIN: 7894985697347"</x:f>
        <x:v>GTIN: 7894985697347</x:v>
      </x:c>
      <x:c r="L370" s="28" t="str">
        <x:f>"63071000"</x:f>
        <x:v>63071000</x:v>
      </x:c>
      <x:c r="M370" s="22" t="str">
        <x:v>UN</x:v>
      </x:c>
      <x:c r="N370" s="22" t="str">
        <x:v>UN</x:v>
      </x:c>
      <x:c r="O370" s="22" t="n">
        <x:v>1</x:v>
      </x:c>
      <x:c r="P370" s="28" t="str">
        <x:f>"636"</x:f>
        <x:v>636</x:v>
      </x:c>
      <x:c r="Q370" s="28" t="str">
        <x:f>"PC40001"</x:f>
        <x:v>PC40001</x:v>
      </x:c>
    </x:row>
    <x:row r="371">
      <x:c r="A371" s="22" t="n">
        <x:v>367</x:v>
      </x:c>
      <x:c r="B371" s="28" t="str">
        <x:f>"PHB0001"</x:f>
        <x:v>PHB0001</x:v>
      </x:c>
      <x:c r="C371" s="22" t="str">
        <x:v>PAPEL HIG. ROLAO BCO STIK C/8</x:v>
      </x:c>
      <x:c r="D371" s="22" t="str">
        <x:v>PAPEL HIG ROLAO BCO</x:v>
      </x:c>
      <x:c r="E371" s="22" t="str">
        <x:v>PAPEL HIG ROLAO</x:v>
      </x:c>
      <x:c r="F371" s="22" t="str"/>
      <x:c r="G371" s="22" t="str"/>
      <x:c r="H371" s="22" t="str">
        <x:v>PCT | CONTEUDO8 | FATOR8</x:v>
      </x:c>
      <x:c r="I371" s="22" t="str">
        <x:v>OUTRA</x:v>
      </x:c>
      <x:c r="J371" s="22" t="str">
        <x:v>STIK</x:v>
      </x:c>
      <x:c r="K371" s="28" t="str">
        <x:f>"GTIN: 7898920231375"</x:f>
        <x:v>GTIN: 7898920231375</x:v>
      </x:c>
      <x:c r="L371" s="28" t="str">
        <x:f>"48181000"</x:f>
        <x:v>48181000</x:v>
      </x:c>
      <x:c r="M371" s="22" t="str">
        <x:v>UN</x:v>
      </x:c>
      <x:c r="N371" s="22" t="str">
        <x:v>PCT</x:v>
      </x:c>
      <x:c r="O371" s="22" t="n">
        <x:v>8</x:v>
      </x:c>
      <x:c r="P371" s="28" t="str">
        <x:f>"637"</x:f>
        <x:v>637</x:v>
      </x:c>
      <x:c r="Q371" s="28" t="str">
        <x:f>"PHB0001"</x:f>
        <x:v>PHB0001</x:v>
      </x:c>
    </x:row>
    <x:row r="372">
      <x:c r="A372" s="22" t="n">
        <x:v>368</x:v>
      </x:c>
      <x:c r="B372" s="28" t="str">
        <x:f>"PL70002"</x:f>
        <x:v>PL70002</x:v>
      </x:c>
      <x:c r="C372" s="22" t="str">
        <x:v>PAPEL LENÇOL 50X50 - CX/10 RL - ECOLOGICO DESCARBOX</x:v>
      </x:c>
      <x:c r="D372" s="22" t="str">
        <x:v>PAPEL LENCOL RL ECOLOGICO</x:v>
      </x:c>
      <x:c r="E372" s="22" t="str">
        <x:v>PAPEL LENCOL RL</x:v>
      </x:c>
      <x:c r="F372" s="22" t="str"/>
      <x:c r="G372" s="22" t="str">
        <x:v>50X50</x:v>
      </x:c>
      <x:c r="H372" s="22" t="str">
        <x:v>CX/10 | CX | CONTEUDO10 | FATOR10</x:v>
      </x:c>
      <x:c r="I372" s="22" t="str">
        <x:v>CAIXA</x:v>
      </x:c>
      <x:c r="J372" s="22" t="str">
        <x:v>DESCARBOX</x:v>
      </x:c>
      <x:c r="K372" s="28" t="str">
        <x:f>"GTIN: 7898563343053"</x:f>
        <x:v>GTIN: 7898563343053</x:v>
      </x:c>
      <x:c r="L372" s="28" t="str">
        <x:f>"48115129"</x:f>
        <x:v>48115129</x:v>
      </x:c>
      <x:c r="M372" s="22" t="str">
        <x:v>UN</x:v>
      </x:c>
      <x:c r="N372" s="22" t="str">
        <x:v>CX</x:v>
      </x:c>
      <x:c r="O372" s="22" t="n">
        <x:v>10</x:v>
      </x:c>
      <x:c r="P372" s="28" t="str">
        <x:f>"638"</x:f>
        <x:v>638</x:v>
      </x:c>
      <x:c r="Q372" s="28" t="str">
        <x:f>"PL70002"</x:f>
        <x:v>PL70002</x:v>
      </x:c>
    </x:row>
    <x:row r="373">
      <x:c r="A373" s="22" t="n">
        <x:v>369</x:v>
      </x:c>
      <x:c r="B373" s="28" t="str">
        <x:f>"PL70001"</x:f>
        <x:v>PL70001</x:v>
      </x:c>
      <x:c r="C373" s="22" t="str">
        <x:v>PAPEL LENÇOL 70X50 CM - CX/10 RL BRANCO - CLEAN</x:v>
      </x:c>
      <x:c r="D373" s="22" t="str">
        <x:v>PAPEL LENCOL RL BRANCO</x:v>
      </x:c>
      <x:c r="E373" s="22" t="str">
        <x:v>PAPEL LENCOL RL</x:v>
      </x:c>
      <x:c r="F373" s="22" t="str"/>
      <x:c r="G373" s="22" t="str">
        <x:v>70X50CM</x:v>
      </x:c>
      <x:c r="H373" s="22" t="str">
        <x:v>CX/10 | CX | CONTEUDO10 | FATOR10</x:v>
      </x:c>
      <x:c r="I373" s="22" t="str">
        <x:v>CAIXA</x:v>
      </x:c>
      <x:c r="J373" s="22" t="str">
        <x:v>CLEAN</x:v>
      </x:c>
      <x:c r="K373" s="28" t="str"/>
      <x:c r="L373" s="28" t="str">
        <x:f>"48115129"</x:f>
        <x:v>48115129</x:v>
      </x:c>
      <x:c r="M373" s="22" t="str">
        <x:v>UN</x:v>
      </x:c>
      <x:c r="N373" s="22" t="str">
        <x:v>CX</x:v>
      </x:c>
      <x:c r="O373" s="22" t="n">
        <x:v>10</x:v>
      </x:c>
      <x:c r="P373" s="28" t="str">
        <x:f>"639"</x:f>
        <x:v>639</x:v>
      </x:c>
      <x:c r="Q373" s="28" t="str">
        <x:f>"PL70001"</x:f>
        <x:v>PL70001</x:v>
      </x:c>
    </x:row>
    <x:row r="374">
      <x:c r="A374" s="22" t="n">
        <x:v>370</x:v>
      </x:c>
      <x:c r="B374" s="28" t="str">
        <x:f>"PL50001"</x:f>
        <x:v>PL50001</x:v>
      </x:c>
      <x:c r="C374" s="22" t="str">
        <x:v>PAPEL LENÇOL 70X50 CM CX/10 RL BRANCO - BELIPEL CIPEL</x:v>
      </x:c>
      <x:c r="D374" s="22" t="str">
        <x:v>PAPEL LENCOL RL BRANCO</x:v>
      </x:c>
      <x:c r="E374" s="22" t="str">
        <x:v>PAPEL LENCOL RL</x:v>
      </x:c>
      <x:c r="F374" s="22" t="str"/>
      <x:c r="G374" s="22" t="str">
        <x:v>70X50CM</x:v>
      </x:c>
      <x:c r="H374" s="22" t="str">
        <x:v>CX/10 | CX | CONTEUDO10 | FATOR10</x:v>
      </x:c>
      <x:c r="I374" s="22" t="str">
        <x:v>CAIXA</x:v>
      </x:c>
      <x:c r="J374" s="22" t="str">
        <x:v>BELIPEL CIPEL</x:v>
      </x:c>
      <x:c r="K374" s="28" t="str"/>
      <x:c r="L374" s="28" t="str">
        <x:f>"48115129"</x:f>
        <x:v>48115129</x:v>
      </x:c>
      <x:c r="M374" s="22" t="str">
        <x:v>UN</x:v>
      </x:c>
      <x:c r="N374" s="22" t="str">
        <x:v>CX</x:v>
      </x:c>
      <x:c r="O374" s="22" t="n">
        <x:v>10</x:v>
      </x:c>
      <x:c r="P374" s="28" t="str">
        <x:f>"640"</x:f>
        <x:v>640</x:v>
      </x:c>
      <x:c r="Q374" s="28" t="str">
        <x:f>"PL50001"</x:f>
        <x:v>PL50001</x:v>
      </x:c>
    </x:row>
    <x:row r="375">
      <x:c r="A375" s="22" t="n">
        <x:v>371</x:v>
      </x:c>
      <x:c r="B375" s="28" t="str">
        <x:f>"PL70003"</x:f>
        <x:v>PL70003</x:v>
      </x:c>
      <x:c r="C375" s="22" t="str">
        <x:v>PAPEL LENÇOL 70X50 CM ECOLOGIC RL - DESCARBOX</x:v>
      </x:c>
      <x:c r="D375" s="22" t="str">
        <x:v>PAPEL LENCOL ECOLOGIC RL</x:v>
      </x:c>
      <x:c r="E375" s="22" t="str">
        <x:v>PAPEL LENCOL ECOLOGIC</x:v>
      </x:c>
      <x:c r="F375" s="22" t="str"/>
      <x:c r="G375" s="22" t="str">
        <x:v>70X50CM</x:v>
      </x:c>
      <x:c r="H375" s="22" t="str">
        <x:v>CX | CONTEUDO10 | FATOR10</x:v>
      </x:c>
      <x:c r="I375" s="22" t="str">
        <x:v>CAIXA</x:v>
      </x:c>
      <x:c r="J375" s="22" t="str">
        <x:v>DESCARBOX</x:v>
      </x:c>
      <x:c r="K375" s="28" t="str"/>
      <x:c r="L375" s="28" t="str">
        <x:f>"48115129"</x:f>
        <x:v>48115129</x:v>
      </x:c>
      <x:c r="M375" s="22" t="str">
        <x:v>UN</x:v>
      </x:c>
      <x:c r="N375" s="22" t="str">
        <x:v>CX</x:v>
      </x:c>
      <x:c r="O375" s="22" t="n">
        <x:v>10</x:v>
      </x:c>
      <x:c r="P375" s="28" t="str">
        <x:f>"641"</x:f>
        <x:v>641</x:v>
      </x:c>
      <x:c r="Q375" s="28" t="str">
        <x:f>"PL70003"</x:f>
        <x:v>PL70003</x:v>
      </x:c>
    </x:row>
    <x:row r="376">
      <x:c r="A376" s="22" t="n">
        <x:v>372</x:v>
      </x:c>
      <x:c r="B376" s="28" t="str">
        <x:f>"PT10001"</x:f>
        <x:v>PT10001</x:v>
      </x:c>
      <x:c r="C376" s="22" t="str">
        <x:v>PAPEL TOALHA 10X21CM - CX/8000 - NOBREPAPER</x:v>
      </x:c>
      <x:c r="D376" s="22" t="str">
        <x:v>PAPEL TOALHA</x:v>
      </x:c>
      <x:c r="E376" s="22" t="str">
        <x:v>PAPEL TOALHA</x:v>
      </x:c>
      <x:c r="F376" s="22" t="str"/>
      <x:c r="G376" s="22" t="str">
        <x:v>10X21CM</x:v>
      </x:c>
      <x:c r="H376" s="22" t="str">
        <x:v>CX/8000 | CX | CONTEUDO800 | FATOR800</x:v>
      </x:c>
      <x:c r="I376" s="22" t="str">
        <x:v>CAIXA</x:v>
      </x:c>
      <x:c r="J376" s="22" t="str">
        <x:v>NOBREPAPER</x:v>
      </x:c>
      <x:c r="K376" s="28" t="str">
        <x:f>"GTIN: 7899825900380"</x:f>
        <x:v>GTIN: 7899825900380</x:v>
      </x:c>
      <x:c r="L376" s="28" t="str">
        <x:f>"48182000"</x:f>
        <x:v>48182000</x:v>
      </x:c>
      <x:c r="M376" s="22" t="str">
        <x:v>UN</x:v>
      </x:c>
      <x:c r="N376" s="22" t="str">
        <x:v>CX</x:v>
      </x:c>
      <x:c r="O376" s="22" t="n">
        <x:v>800</x:v>
      </x:c>
      <x:c r="P376" s="28" t="str">
        <x:f>"642"</x:f>
        <x:v>642</x:v>
      </x:c>
      <x:c r="Q376" s="28" t="str">
        <x:f>"PT10001"</x:f>
        <x:v>PT10001</x:v>
      </x:c>
    </x:row>
    <x:row r="377">
      <x:c r="A377" s="22" t="n">
        <x:v>373</x:v>
      </x:c>
      <x:c r="B377" s="28" t="str">
        <x:f>"PPC0001"</x:f>
        <x:v>PPC0001</x:v>
      </x:c>
      <x:c r="C377" s="22" t="str">
        <x:v>PERNEIRA PADRÃO DE COMPRESSÃO DA COXA - ARJO</x:v>
      </x:c>
      <x:c r="D377" s="22" t="str">
        <x:v>PERNEIRA PADRAO COMPRESSAO COXA</x:v>
      </x:c>
      <x:c r="E377" s="22" t="str">
        <x:v>PERNEIRA PADRAO COMPRESSAO</x:v>
      </x:c>
      <x:c r="F377" s="22" t="str"/>
      <x:c r="G377" s="22" t="str"/>
      <x:c r="H377" s="22" t="str">
        <x:v>UN</x:v>
      </x:c>
      <x:c r="I377" s="22" t="str">
        <x:v>UNIDADE</x:v>
      </x:c>
      <x:c r="J377" s="22" t="str">
        <x:v>ARJO</x:v>
      </x:c>
      <x:c r="K377" s="28" t="str">
        <x:f>"GTIN: 9464121366093"</x:f>
        <x:v>GTIN: 9464121366093</x:v>
      </x:c>
      <x:c r="L377" s="28" t="str">
        <x:f>"90191000"</x:f>
        <x:v>90191000</x:v>
      </x:c>
      <x:c r="M377" s="22" t="str">
        <x:v>UN</x:v>
      </x:c>
      <x:c r="N377" s="22" t="str">
        <x:v>UN</x:v>
      </x:c>
      <x:c r="O377" s="22" t="n">
        <x:v>1</x:v>
      </x:c>
      <x:c r="P377" s="28" t="str">
        <x:f>"643"</x:f>
        <x:v>643</x:v>
      </x:c>
      <x:c r="Q377" s="28" t="str">
        <x:f>"PPC0001"</x:f>
        <x:v>PPC0001</x:v>
      </x:c>
    </x:row>
    <x:row r="378">
      <x:c r="A378" s="22" t="n">
        <x:v>374</x:v>
      </x:c>
      <x:c r="B378" s="28" t="str">
        <x:f>"P+T0001"</x:f>
        <x:v>P+T0001</x:v>
      </x:c>
      <x:c r="C378" s="22" t="str">
        <x:v>PIPERACILINA + TAZOBACTAM 4G + 500MG - CX/10 - BIOCHIMICO</x:v>
      </x:c>
      <x:c r="D378" s="22" t="str">
        <x:v>PIPERACILINA + TAZOBACTAM +</x:v>
      </x:c>
      <x:c r="E378" s="22" t="str">
        <x:v>PIPERACILINA TAZOBACTAM</x:v>
      </x:c>
      <x:c r="F378" s="22" t="str">
        <x:v>4G | 500MG</x:v>
      </x:c>
      <x:c r="G378" s="22" t="str">
        <x:v>4G</x:v>
      </x:c>
      <x:c r="H378" s="22" t="str">
        <x:v>CX/10 | CX | CONTEUDO10 | FATOR10</x:v>
      </x:c>
      <x:c r="I378" s="22" t="str">
        <x:v>CAIXA</x:v>
      </x:c>
      <x:c r="J378" s="22" t="str">
        <x:v>BIOCHIMICO</x:v>
      </x:c>
      <x:c r="K378" s="28" t="str">
        <x:f>"GTIN: 7897406119626"</x:f>
        <x:v>GTIN: 7897406119626</x:v>
      </x:c>
      <x:c r="L378" s="28" t="str">
        <x:f>"30041019"</x:f>
        <x:v>30041019</x:v>
      </x:c>
      <x:c r="M378" s="22" t="str">
        <x:v>UN</x:v>
      </x:c>
      <x:c r="N378" s="22" t="str">
        <x:v>CX</x:v>
      </x:c>
      <x:c r="O378" s="22" t="n">
        <x:v>10</x:v>
      </x:c>
      <x:c r="P378" s="28" t="str">
        <x:f>"644"</x:f>
        <x:v>644</x:v>
      </x:c>
      <x:c r="Q378" s="28" t="str">
        <x:f>"P+T0001"</x:f>
        <x:v>P+T0001</x:v>
      </x:c>
    </x:row>
    <x:row r="379">
      <x:c r="A379" s="22" t="n">
        <x:v>375</x:v>
      </x:c>
      <x:c r="B379" s="28" t="str">
        <x:f>"P+T0005"</x:f>
        <x:v>P+T0005</x:v>
      </x:c>
      <x:c r="C379" s="22" t="str">
        <x:v>PIPERACILINA + TAZOBACTAM 4G + 500MG - CX/10 - EUROFARMA</x:v>
      </x:c>
      <x:c r="D379" s="22" t="str">
        <x:v>PIPERACILINA + TAZOBACTAM +</x:v>
      </x:c>
      <x:c r="E379" s="22" t="str">
        <x:v>PIPERACILINA TAZOBACTAM</x:v>
      </x:c>
      <x:c r="F379" s="22" t="str">
        <x:v>4G | 500MG</x:v>
      </x:c>
      <x:c r="G379" s="22" t="str">
        <x:v>4G</x:v>
      </x:c>
      <x:c r="H379" s="22" t="str">
        <x:v>CX/10 | CX | CONTEUDO10 | FATOR10</x:v>
      </x:c>
      <x:c r="I379" s="22" t="str">
        <x:v>CAIXA</x:v>
      </x:c>
      <x:c r="J379" s="22" t="str">
        <x:v>EUROFARMA</x:v>
      </x:c>
      <x:c r="K379" s="28" t="str">
        <x:f>"GTIN: 7899498608354"</x:f>
        <x:v>GTIN: 7899498608354</x:v>
      </x:c>
      <x:c r="L379" s="28" t="str">
        <x:f>"30041019"</x:f>
        <x:v>30041019</x:v>
      </x:c>
      <x:c r="M379" s="22" t="str">
        <x:v>UN</x:v>
      </x:c>
      <x:c r="N379" s="22" t="str">
        <x:v>CX</x:v>
      </x:c>
      <x:c r="O379" s="22" t="n">
        <x:v>10</x:v>
      </x:c>
      <x:c r="P379" s="28" t="str">
        <x:f>"645"</x:f>
        <x:v>645</x:v>
      </x:c>
      <x:c r="Q379" s="28" t="str">
        <x:f>"P+T0005"</x:f>
        <x:v>P+T0005</x:v>
      </x:c>
    </x:row>
    <x:row r="380">
      <x:c r="A380" s="22" t="n">
        <x:v>376</x:v>
      </x:c>
      <x:c r="B380" s="28" t="str">
        <x:f>"P+T0002"</x:f>
        <x:v>P+T0002</x:v>
      </x:c>
      <x:c r="C380" s="22" t="str">
        <x:v>PIPERACILINA + TAZOBACTAM 4G + 500MG - CX/10 - TEUTO</x:v>
      </x:c>
      <x:c r="D380" s="22" t="str">
        <x:v>PIPERACILINA + TAZOBACTAM + TEUTO</x:v>
      </x:c>
      <x:c r="E380" s="22" t="str">
        <x:v>PIPERACILINA TAZOBACTAM TEUTO</x:v>
      </x:c>
      <x:c r="F380" s="22" t="str">
        <x:v>4G | 500MG</x:v>
      </x:c>
      <x:c r="G380" s="22" t="str">
        <x:v>4G</x:v>
      </x:c>
      <x:c r="H380" s="22" t="str">
        <x:v>CX/10 | CX | CONTEUDO10 | FATOR10</x:v>
      </x:c>
      <x:c r="I380" s="22" t="str">
        <x:v>CAIXA</x:v>
      </x:c>
      <x:c r="J380" s="22" t="str">
        <x:v>VIATRIS</x:v>
      </x:c>
      <x:c r="K380" s="28" t="str">
        <x:f>"GTIN: 7899498608354"</x:f>
        <x:v>GTIN: 7899498608354</x:v>
      </x:c>
      <x:c r="L380" s="28" t="str">
        <x:f>"30041019"</x:f>
        <x:v>30041019</x:v>
      </x:c>
      <x:c r="M380" s="22" t="str">
        <x:v>UN</x:v>
      </x:c>
      <x:c r="N380" s="22" t="str">
        <x:v>CX</x:v>
      </x:c>
      <x:c r="O380" s="22" t="n">
        <x:v>10</x:v>
      </x:c>
      <x:c r="P380" s="28" t="str">
        <x:f>"646 | 647"</x:f>
        <x:v>646 | 647</x:v>
      </x:c>
      <x:c r="Q380" s="28" t="str">
        <x:f>"P+T0002 | P+T0003"</x:f>
        <x:v>P+T0002 | P+T0003</x:v>
      </x:c>
    </x:row>
    <x:row r="381">
      <x:c r="A381" s="22" t="n">
        <x:v>377</x:v>
      </x:c>
      <x:c r="B381" s="28" t="str">
        <x:f>"P+T0004"</x:f>
        <x:v>P+T0004</x:v>
      </x:c>
      <x:c r="C381" s="22" t="str">
        <x:v>PIPERACILINA + TAZOBACTAM 4G + 500MG - CX/10 - UNIÃO QUÍMICA</x:v>
      </x:c>
      <x:c r="D381" s="22" t="str">
        <x:v>PIPERACILINA + TAZOBACTAM +</x:v>
      </x:c>
      <x:c r="E381" s="22" t="str">
        <x:v>PIPERACILINA TAZOBACTAM</x:v>
      </x:c>
      <x:c r="F381" s="22" t="str">
        <x:v>4G | 500MG</x:v>
      </x:c>
      <x:c r="G381" s="22" t="str">
        <x:v>4G</x:v>
      </x:c>
      <x:c r="H381" s="22" t="str">
        <x:v>CX/10 | CX | CONTEUDO10 | FATOR10</x:v>
      </x:c>
      <x:c r="I381" s="22" t="str">
        <x:v>CAIXA</x:v>
      </x:c>
      <x:c r="J381" s="22" t="str">
        <x:v>UNIÃO QUÍMICA</x:v>
      </x:c>
      <x:c r="K381" s="28" t="str">
        <x:f>"GTIN: 7899498608354"</x:f>
        <x:v>GTIN: 7899498608354</x:v>
      </x:c>
      <x:c r="L381" s="28" t="str">
        <x:f>"30041019"</x:f>
        <x:v>30041019</x:v>
      </x:c>
      <x:c r="M381" s="22" t="str">
        <x:v>UN</x:v>
      </x:c>
      <x:c r="N381" s="22" t="str">
        <x:v>CX</x:v>
      </x:c>
      <x:c r="O381" s="22" t="n">
        <x:v>10</x:v>
      </x:c>
      <x:c r="P381" s="28" t="str">
        <x:f>"648"</x:f>
        <x:v>648</x:v>
      </x:c>
      <x:c r="Q381" s="28" t="str">
        <x:f>"P+T0004"</x:f>
        <x:v>P+T0004</x:v>
      </x:c>
    </x:row>
    <x:row r="382">
      <x:c r="A382" s="22" t="n">
        <x:v>378</x:v>
      </x:c>
      <x:c r="B382" s="28" t="str">
        <x:f>"P+T0031"</x:f>
        <x:v>P+T0031</x:v>
      </x:c>
      <x:c r="C382" s="22" t="str">
        <x:v>PIPERACILINA + TAZOBACTAM 4G + 500MG - CX/10 - VIATRIS</x:v>
      </x:c>
      <x:c r="D382" s="22" t="str">
        <x:v>PIPERACILINA + TAZOBACTAM +</x:v>
      </x:c>
      <x:c r="E382" s="22" t="str">
        <x:v>PIPERACILINA TAZOBACTAM</x:v>
      </x:c>
      <x:c r="F382" s="22" t="str">
        <x:v>4G | 500MG</x:v>
      </x:c>
      <x:c r="G382" s="22" t="str">
        <x:v>4G</x:v>
      </x:c>
      <x:c r="H382" s="22" t="str">
        <x:v>CX/10 | CX | CONTEUDO10 | FATOR10</x:v>
      </x:c>
      <x:c r="I382" s="22" t="str">
        <x:v>CAIXA</x:v>
      </x:c>
      <x:c r="J382" s="22" t="str">
        <x:v>VIATRIS</x:v>
      </x:c>
      <x:c r="K382" s="28" t="str">
        <x:f>"GTIN: 7899498608354"</x:f>
        <x:v>GTIN: 7899498608354</x:v>
      </x:c>
      <x:c r="L382" s="28" t="str">
        <x:f>"30041019"</x:f>
        <x:v>30041019</x:v>
      </x:c>
      <x:c r="M382" s="22" t="str">
        <x:v>UN</x:v>
      </x:c>
      <x:c r="N382" s="22" t="str">
        <x:v>CX</x:v>
      </x:c>
      <x:c r="O382" s="22" t="n">
        <x:v>10</x:v>
      </x:c>
      <x:c r="P382" s="28" t="str">
        <x:f>"649 | 650 | 651 | 652"</x:f>
        <x:v>649 | 650 | 651 | 652</x:v>
      </x:c>
      <x:c r="Q382" s="28" t="str">
        <x:f>"P+T0009 | P+T0030 | P+T0031 | P+T0006"</x:f>
        <x:v>P+T0009 | P+T0030 | P+T0031 | P+T0006</x:v>
      </x:c>
    </x:row>
    <x:row r="383">
      <x:c r="A383" s="22" t="n">
        <x:v>379</x:v>
      </x:c>
      <x:c r="B383" s="28" t="str">
        <x:f>"P110001"</x:f>
        <x:v>P110001</x:v>
      </x:c>
      <x:c r="C383" s="22" t="str">
        <x:v>PROPOFOL 1% 10MG/ML 20ML - CX/10 - CRISTÁLIA</x:v>
      </x:c>
      <x:c r="D383" s="22" t="str">
        <x:v>PROPOFOL %</x:v>
      </x:c>
      <x:c r="E383" s="22" t="str">
        <x:v>PROPOFOL</x:v>
      </x:c>
      <x:c r="F383" s="22" t="str">
        <x:v>10MG/ML | 10MG | 20ML</x:v>
      </x:c>
      <x:c r="G383" s="22" t="str"/>
      <x:c r="H383" s="22" t="str">
        <x:v>CX/10 | CX | CONTEUDO10 | FATOR10</x:v>
      </x:c>
      <x:c r="I383" s="22" t="str">
        <x:v>CAIXA</x:v>
      </x:c>
      <x:c r="J383" s="22" t="str">
        <x:v>CRISTÁLIA</x:v>
      </x:c>
      <x:c r="K383" s="28" t="str">
        <x:f>"GTIN: 8907730022574"</x:f>
        <x:v>GTIN: 8907730022574</x:v>
      </x:c>
      <x:c r="L383" s="28" t="str">
        <x:f>"30039095"</x:f>
        <x:v>30039095</x:v>
      </x:c>
      <x:c r="M383" s="22" t="str">
        <x:v>UN</x:v>
      </x:c>
      <x:c r="N383" s="22" t="str">
        <x:v>CX</x:v>
      </x:c>
      <x:c r="O383" s="22" t="n">
        <x:v>10</x:v>
      </x:c>
      <x:c r="P383" s="28" t="str">
        <x:f>"653"</x:f>
        <x:v>653</x:v>
      </x:c>
      <x:c r="Q383" s="28" t="str">
        <x:f>"P110001"</x:f>
        <x:v>P110001</x:v>
      </x:c>
    </x:row>
    <x:row r="384">
      <x:c r="A384" s="22" t="n">
        <x:v>380</x:v>
      </x:c>
      <x:c r="B384" s="28" t="str">
        <x:f>"P110008"</x:f>
        <x:v>P110008</x:v>
      </x:c>
      <x:c r="C384" s="22" t="str">
        <x:v>PROPOFOL 1% 10MG/ML 20ML - CX/5 - BAXTER</x:v>
      </x:c>
      <x:c r="D384" s="22" t="str">
        <x:v>PROPOFOL %</x:v>
      </x:c>
      <x:c r="E384" s="22" t="str">
        <x:v>PROPOFOL</x:v>
      </x:c>
      <x:c r="F384" s="22" t="str">
        <x:v>10MG/ML | 10MG | 20ML</x:v>
      </x:c>
      <x:c r="G384" s="22" t="str"/>
      <x:c r="H384" s="22" t="str">
        <x:v>CX/5 | CX | CONTEUDO5 | FATOR5</x:v>
      </x:c>
      <x:c r="I384" s="22" t="str">
        <x:v>CAIXA</x:v>
      </x:c>
      <x:c r="J384" s="22" t="str">
        <x:v>BAXTER</x:v>
      </x:c>
      <x:c r="K384" s="28" t="str">
        <x:f>"GTIN: 8907730022574"</x:f>
        <x:v>GTIN: 8907730022574</x:v>
      </x:c>
      <x:c r="L384" s="28" t="str">
        <x:f>"30039095"</x:f>
        <x:v>30039095</x:v>
      </x:c>
      <x:c r="M384" s="22" t="str">
        <x:v>UN</x:v>
      </x:c>
      <x:c r="N384" s="22" t="str">
        <x:v>CX</x:v>
      </x:c>
      <x:c r="O384" s="22" t="n">
        <x:v>5</x:v>
      </x:c>
      <x:c r="P384" s="28" t="str">
        <x:f>"654 | 655"</x:f>
        <x:v>654 | 655</x:v>
      </x:c>
      <x:c r="Q384" s="28" t="str">
        <x:f>"P110002 | P110008"</x:f>
        <x:v>P110002 | P110008</x:v>
      </x:c>
    </x:row>
    <x:row r="385">
      <x:c r="A385" s="22" t="n">
        <x:v>381</x:v>
      </x:c>
      <x:c r="B385" s="28" t="str">
        <x:f>"P1-0002"</x:f>
        <x:v>P1-0002</x:v>
      </x:c>
      <x:c r="C385" s="22" t="str">
        <x:v>PROPOFOL 10MG/20ML - CX/5 - MIDFARMA</x:v>
      </x:c>
      <x:c r="D385" s="22" t="str">
        <x:v>PROPOFOL</x:v>
      </x:c>
      <x:c r="E385" s="22" t="str">
        <x:v>PROPOFOL</x:v>
      </x:c>
      <x:c r="F385" s="22" t="str">
        <x:v>10MG/20ML | 10MG | 20ML</x:v>
      </x:c>
      <x:c r="G385" s="22" t="str"/>
      <x:c r="H385" s="22" t="str">
        <x:v>CX/5 | CX | CONTEUDO5 | FATOR5</x:v>
      </x:c>
      <x:c r="I385" s="22" t="str">
        <x:v>CAIXA</x:v>
      </x:c>
      <x:c r="J385" s="22" t="str">
        <x:v>MIDFARMA</x:v>
      </x:c>
      <x:c r="K385" s="28" t="str">
        <x:f>"GTIN: 7896112105312"</x:f>
        <x:v>GTIN: 7896112105312</x:v>
      </x:c>
      <x:c r="L385" s="28" t="str">
        <x:f>"30039095"</x:f>
        <x:v>30039095</x:v>
      </x:c>
      <x:c r="M385" s="22" t="str">
        <x:v>UN</x:v>
      </x:c>
      <x:c r="N385" s="22" t="str">
        <x:v>CX</x:v>
      </x:c>
      <x:c r="O385" s="22" t="n">
        <x:v>5</x:v>
      </x:c>
      <x:c r="P385" s="28" t="str">
        <x:f>"656 | 657 | 658 | 659"</x:f>
        <x:v>656 | 657 | 658 | 659</x:v>
      </x:c>
      <x:c r="Q385" s="28" t="str">
        <x:f>"P1-0002 | P1-0003 | P1-0001 | P1-0005"</x:f>
        <x:v>P1-0002 | P1-0003 | P1-0001 | P1-0005</x:v>
      </x:c>
    </x:row>
    <x:row r="386">
      <x:c r="A386" s="22" t="n">
        <x:v>382</x:v>
      </x:c>
      <x:c r="B386" s="28" t="str">
        <x:f>"P2B0019"</x:f>
        <x:v>P2B0019</x:v>
      </x:c>
      <x:c r="C386" s="22" t="str">
        <x:v>PROPOFOL 20ML B BRAUN CX/5</x:v>
      </x:c>
      <x:c r="D386" s="22" t="str">
        <x:v>PROPOFOL</x:v>
      </x:c>
      <x:c r="E386" s="22" t="str">
        <x:v>PROPOFOL</x:v>
      </x:c>
      <x:c r="F386" s="22" t="str">
        <x:v>20ML</x:v>
      </x:c>
      <x:c r="G386" s="22" t="str"/>
      <x:c r="H386" s="22" t="str">
        <x:v>CX/5 | CX | CONTEUDO5 | FATOR5</x:v>
      </x:c>
      <x:c r="I386" s="22" t="str">
        <x:v>CAIXA</x:v>
      </x:c>
      <x:c r="J386" s="22" t="str">
        <x:v>B BRAUN</x:v>
      </x:c>
      <x:c r="K386" s="28" t="str">
        <x:f>"GTIN: 04030539005951"</x:f>
        <x:v>GTIN: 04030539005951</x:v>
      </x:c>
      <x:c r="L386" s="28" t="str">
        <x:f>"30039095"</x:f>
        <x:v>30039095</x:v>
      </x:c>
      <x:c r="M386" s="22" t="str">
        <x:v>UN</x:v>
      </x:c>
      <x:c r="N386" s="22" t="str">
        <x:v>CX</x:v>
      </x:c>
      <x:c r="O386" s="22" t="n">
        <x:v>5</x:v>
      </x:c>
      <x:c r="P386" s="28" t="str">
        <x:f>"660"</x:f>
        <x:v>660</x:v>
      </x:c>
      <x:c r="Q386" s="28" t="str">
        <x:f>"P2B0019"</x:f>
        <x:v>P2B0019</x:v>
      </x:c>
    </x:row>
    <x:row r="387">
      <x:c r="A387" s="22" t="n">
        <x:v>383</x:v>
      </x:c>
      <x:c r="B387" s="28" t="str">
        <x:f>"RCL0012"</x:f>
        <x:v>RCL0012</x:v>
      </x:c>
      <x:c r="C387" s="22" t="str">
        <x:v>RINGER C/ LACTADO 500ML (BOLSA) BAXTER CX/30</x:v>
      </x:c>
      <x:c r="D387" s="22" t="str">
        <x:v>RINGER LACTADO BAXTER</x:v>
      </x:c>
      <x:c r="E387" s="22" t="str">
        <x:v>RINGER LACTADO BAXTER</x:v>
      </x:c>
      <x:c r="F387" s="22" t="str">
        <x:v>500ML</x:v>
      </x:c>
      <x:c r="G387" s="22" t="str"/>
      <x:c r="H387" s="22" t="str">
        <x:v>BOLSA | CX/30 | CX | CONTEUDO30 | FATOR30</x:v>
      </x:c>
      <x:c r="I387" s="22" t="str">
        <x:v>CAIXA</x:v>
      </x:c>
      <x:c r="J387" s="22" t="str">
        <x:v>HALEX/STAR</x:v>
      </x:c>
      <x:c r="K387" s="28" t="str">
        <x:f>"GTIN: 7898008410173"</x:f>
        <x:v>GTIN: 7898008410173</x:v>
      </x:c>
      <x:c r="L387" s="28" t="str">
        <x:f>"30049099"</x:f>
        <x:v>30049099</x:v>
      </x:c>
      <x:c r="M387" s="22" t="str">
        <x:v>UN</x:v>
      </x:c>
      <x:c r="N387" s="22" t="str">
        <x:v>CX</x:v>
      </x:c>
      <x:c r="O387" s="22" t="n">
        <x:v>30</x:v>
      </x:c>
      <x:c r="P387" s="28" t="str">
        <x:f>"661"</x:f>
        <x:v>661</x:v>
      </x:c>
      <x:c r="Q387" s="28" t="str">
        <x:f>"RCL0012"</x:f>
        <x:v>RCL0012</x:v>
      </x:c>
    </x:row>
    <x:row r="388">
      <x:c r="A388" s="22" t="n">
        <x:v>384</x:v>
      </x:c>
      <x:c r="B388" s="28" t="str">
        <x:f>"RCL0011"</x:f>
        <x:v>RCL0011</x:v>
      </x:c>
      <x:c r="C388" s="22" t="str">
        <x:v>RINGER C/ LACTATO 500ML - CX/30 - HALEXSTAR</x:v>
      </x:c>
      <x:c r="D388" s="22" t="str">
        <x:v>RINGER LACTATO</x:v>
      </x:c>
      <x:c r="E388" s="22" t="str">
        <x:v>RINGER LACTATO</x:v>
      </x:c>
      <x:c r="F388" s="22" t="str">
        <x:v>500ML</x:v>
      </x:c>
      <x:c r="G388" s="22" t="str"/>
      <x:c r="H388" s="22" t="str">
        <x:v>CX/30 | CX | CONTEUDO30 | FATOR30</x:v>
      </x:c>
      <x:c r="I388" s="22" t="str">
        <x:v>CAIXA</x:v>
      </x:c>
      <x:c r="J388" s="22" t="str">
        <x:v>HALEXSTAR</x:v>
      </x:c>
      <x:c r="K388" s="28" t="str">
        <x:f>"GTIN: 7896727841919"</x:f>
        <x:v>GTIN: 7896727841919</x:v>
      </x:c>
      <x:c r="L388" s="28" t="str">
        <x:f>"30049099"</x:f>
        <x:v>30049099</x:v>
      </x:c>
      <x:c r="M388" s="22" t="str">
        <x:v>UN</x:v>
      </x:c>
      <x:c r="N388" s="22" t="str">
        <x:v>CX</x:v>
      </x:c>
      <x:c r="O388" s="22" t="n">
        <x:v>30</x:v>
      </x:c>
      <x:c r="P388" s="28" t="str">
        <x:f>"662"</x:f>
        <x:v>662</x:v>
      </x:c>
      <x:c r="Q388" s="28" t="str">
        <x:f>"RCL0011"</x:f>
        <x:v>RCL0011</x:v>
      </x:c>
    </x:row>
    <x:row r="389">
      <x:c r="A389" s="22" t="n">
        <x:v>385</x:v>
      </x:c>
      <x:c r="B389" s="28" t="str">
        <x:f>"R120003"</x:f>
        <x:v>R120003</x:v>
      </x:c>
      <x:c r="C389" s="22" t="str">
        <x:v>ROPIVACAINA 10MG/ML 20ML - CX/25 - TEUTO</x:v>
      </x:c>
      <x:c r="D389" s="22" t="str">
        <x:v>ROPIVACAINA</x:v>
      </x:c>
      <x:c r="E389" s="22" t="str">
        <x:v>ROPIVACAINA</x:v>
      </x:c>
      <x:c r="F389" s="22" t="str">
        <x:v>10MG/ML | 10MG | 20ML</x:v>
      </x:c>
      <x:c r="G389" s="22" t="str"/>
      <x:c r="H389" s="22" t="str">
        <x:v>CX/25 | CX | CONTEUDO25 | FATOR25</x:v>
      </x:c>
      <x:c r="I389" s="22" t="str">
        <x:v>CAIXA</x:v>
      </x:c>
      <x:c r="J389" s="22" t="str">
        <x:v>TEUTO</x:v>
      </x:c>
      <x:c r="K389" s="28" t="str">
        <x:f>"GTIN: 7898122913864"</x:f>
        <x:v>GTIN: 7898122913864</x:v>
      </x:c>
      <x:c r="L389" s="28" t="str">
        <x:f>"30049069"</x:f>
        <x:v>30049069</x:v>
      </x:c>
      <x:c r="M389" s="22" t="str">
        <x:v>UN</x:v>
      </x:c>
      <x:c r="N389" s="22" t="str">
        <x:v>CX</x:v>
      </x:c>
      <x:c r="O389" s="22" t="n">
        <x:v>25</x:v>
      </x:c>
      <x:c r="P389" s="28" t="str">
        <x:f>"663"</x:f>
        <x:v>663</x:v>
      </x:c>
      <x:c r="Q389" s="28" t="str">
        <x:f>"R120003"</x:f>
        <x:v>R120003</x:v>
      </x:c>
    </x:row>
    <x:row r="390">
      <x:c r="A390" s="22" t="n">
        <x:v>386</x:v>
      </x:c>
      <x:c r="B390" s="28" t="str">
        <x:f>"R7C0006"</x:f>
        <x:v>R7C0006</x:v>
      </x:c>
      <x:c r="C390" s="22" t="str">
        <x:v>ROPIVACAINA 7,5MG/1ML CX/25 HYPOFARMA</x:v>
      </x:c>
      <x:c r="D390" s="22" t="str">
        <x:v>ROPIVACAINA</x:v>
      </x:c>
      <x:c r="E390" s="22" t="str">
        <x:v>ROPIVACAINA</x:v>
      </x:c>
      <x:c r="F390" s="22" t="str">
        <x:v>7,5MG/1ML | 7,5MG | 1ML</x:v>
      </x:c>
      <x:c r="G390" s="22" t="str"/>
      <x:c r="H390" s="22" t="str">
        <x:v>CX/25 | CX | CONTEUDO25 | FATOR25</x:v>
      </x:c>
      <x:c r="I390" s="22" t="str">
        <x:v>CAIXA</x:v>
      </x:c>
      <x:c r="J390" s="22" t="str">
        <x:v>HYPOFARMA</x:v>
      </x:c>
      <x:c r="K390" s="28" t="str">
        <x:f>"GTIN: 7897406119817"</x:f>
        <x:v>GTIN: 7897406119817</x:v>
      </x:c>
      <x:c r="L390" s="28" t="str">
        <x:f>"30049069"</x:f>
        <x:v>30049069</x:v>
      </x:c>
      <x:c r="M390" s="22" t="str">
        <x:v>UN</x:v>
      </x:c>
      <x:c r="N390" s="22" t="str">
        <x:v>CX</x:v>
      </x:c>
      <x:c r="O390" s="22" t="n">
        <x:v>25</x:v>
      </x:c>
      <x:c r="P390" s="28" t="str">
        <x:f>"664"</x:f>
        <x:v>664</x:v>
      </x:c>
      <x:c r="Q390" s="28" t="str">
        <x:f>"R7C0006"</x:f>
        <x:v>R7C0006</x:v>
      </x:c>
    </x:row>
    <x:row r="391">
      <x:c r="A391" s="22" t="n">
        <x:v>387</x:v>
      </x:c>
      <x:c r="B391" s="28" t="str">
        <x:f>"R7-0003"</x:f>
        <x:v>R7-0003</x:v>
      </x:c>
      <x:c r="C391" s="22" t="str">
        <x:v>ROPIVACAINA 7,5MG/20ML - CX/25 - HYPOFARMA</x:v>
      </x:c>
      <x:c r="D391" s="22" t="str">
        <x:v>ROPIVACAINA</x:v>
      </x:c>
      <x:c r="E391" s="22" t="str">
        <x:v>ROPIVACAINA</x:v>
      </x:c>
      <x:c r="F391" s="22" t="str">
        <x:v>7,5MG/20ML | 7,5MG | 20ML</x:v>
      </x:c>
      <x:c r="G391" s="22" t="str"/>
      <x:c r="H391" s="22" t="str">
        <x:v>CX/25 | CX | CONTEUDO25 | FATOR25</x:v>
      </x:c>
      <x:c r="I391" s="22" t="str">
        <x:v>CAIXA</x:v>
      </x:c>
      <x:c r="J391" s="22" t="str">
        <x:v>HYPOFARMA</x:v>
      </x:c>
      <x:c r="K391" s="28" t="str">
        <x:f>"GTIN: 7898122913833"</x:f>
        <x:v>GTIN: 7898122913833</x:v>
      </x:c>
      <x:c r="L391" s="28" t="str">
        <x:f>"30049069"</x:f>
        <x:v>30049069</x:v>
      </x:c>
      <x:c r="M391" s="22" t="str">
        <x:v>UN</x:v>
      </x:c>
      <x:c r="N391" s="22" t="str">
        <x:v>CX</x:v>
      </x:c>
      <x:c r="O391" s="22" t="n">
        <x:v>25</x:v>
      </x:c>
      <x:c r="P391" s="28" t="str">
        <x:f>"665"</x:f>
        <x:v>665</x:v>
      </x:c>
      <x:c r="Q391" s="28" t="str">
        <x:f>"R7-0003"</x:f>
        <x:v>R7-0003</x:v>
      </x:c>
    </x:row>
    <x:row r="392">
      <x:c r="A392" s="22" t="n">
        <x:v>388</x:v>
      </x:c>
      <x:c r="B392" s="28" t="str">
        <x:f>"R7C0005"</x:f>
        <x:v>R7C0005</x:v>
      </x:c>
      <x:c r="C392" s="22" t="str">
        <x:v>ROPIVACAINA 7,5MG/20ML - CX/25 - HYPOLAB</x:v>
      </x:c>
      <x:c r="D392" s="22" t="str">
        <x:v>ROPIVACAINA</x:v>
      </x:c>
      <x:c r="E392" s="22" t="str">
        <x:v>ROPIVACAINA</x:v>
      </x:c>
      <x:c r="F392" s="22" t="str">
        <x:v>7,5MG/20ML | 7,5MG | 20ML</x:v>
      </x:c>
      <x:c r="G392" s="22" t="str"/>
      <x:c r="H392" s="22" t="str">
        <x:v>CX/25 | CX | CONTEUDO25 | FATOR25</x:v>
      </x:c>
      <x:c r="I392" s="22" t="str">
        <x:v>CAIXA</x:v>
      </x:c>
      <x:c r="J392" s="22" t="str">
        <x:v>HYPOLAB</x:v>
      </x:c>
      <x:c r="K392" s="28" t="str">
        <x:f>"GTIN: 7898122913833"</x:f>
        <x:v>GTIN: 7898122913833</x:v>
      </x:c>
      <x:c r="L392" s="28" t="str">
        <x:f>"30049069"</x:f>
        <x:v>30049069</x:v>
      </x:c>
      <x:c r="M392" s="22" t="str">
        <x:v>UN</x:v>
      </x:c>
      <x:c r="N392" s="22" t="str">
        <x:v>CX</x:v>
      </x:c>
      <x:c r="O392" s="22" t="n">
        <x:v>25</x:v>
      </x:c>
      <x:c r="P392" s="28" t="str">
        <x:f>"666 | 667"</x:f>
        <x:v>666 | 667</x:v>
      </x:c>
      <x:c r="Q392" s="28" t="str">
        <x:f>"R7C0005 | R7C0004"</x:f>
        <x:v>R7C0005 | R7C0004</x:v>
      </x:c>
    </x:row>
    <x:row r="393">
      <x:c r="A393" s="22" t="n">
        <x:v>389</x:v>
      </x:c>
      <x:c r="B393" s="28" t="str">
        <x:f>"R7C0008"</x:f>
        <x:v>R7C0008</x:v>
      </x:c>
      <x:c r="C393" s="22" t="str">
        <x:v>ROPIVACAINA 7,5MG/20ML CX/25 - TEUTO</x:v>
      </x:c>
      <x:c r="D393" s="22" t="str">
        <x:v>ROPIVACAINA</x:v>
      </x:c>
      <x:c r="E393" s="22" t="str">
        <x:v>ROPIVACAINA</x:v>
      </x:c>
      <x:c r="F393" s="22" t="str">
        <x:v>7,5MG/20ML | 7,5MG | 20ML</x:v>
      </x:c>
      <x:c r="G393" s="22" t="str"/>
      <x:c r="H393" s="22" t="str">
        <x:v>CX/25 | CX | CONTEUDO25 | FATOR25</x:v>
      </x:c>
      <x:c r="I393" s="22" t="str">
        <x:v>CAIXA</x:v>
      </x:c>
      <x:c r="J393" s="22" t="str">
        <x:v>TEUTO</x:v>
      </x:c>
      <x:c r="K393" s="28" t="str">
        <x:f>"GTIN: 7897406119817"</x:f>
        <x:v>GTIN: 7897406119817</x:v>
      </x:c>
      <x:c r="L393" s="28" t="str">
        <x:f>"30049069"</x:f>
        <x:v>30049069</x:v>
      </x:c>
      <x:c r="M393" s="22" t="str">
        <x:v>UN</x:v>
      </x:c>
      <x:c r="N393" s="22" t="str">
        <x:v>CX</x:v>
      </x:c>
      <x:c r="O393" s="22" t="n">
        <x:v>25</x:v>
      </x:c>
      <x:c r="P393" s="28" t="str">
        <x:f>"668"</x:f>
        <x:v>668</x:v>
      </x:c>
      <x:c r="Q393" s="28" t="str">
        <x:f>"R7C0008"</x:f>
        <x:v>R7C0008</x:v>
      </x:c>
    </x:row>
    <x:row r="394">
      <x:c r="A394" s="22" t="n">
        <x:v>390</x:v>
      </x:c>
      <x:c r="B394" s="28" t="str">
        <x:f>"SÓF0002"</x:f>
        <x:v>SÓF0002</x:v>
      </x:c>
      <x:c r="C394" s="22" t="str">
        <x:v>SACARATO DE ÓXIDO FÉRRICO 20MG/ML 5ML AP CX/50 - BLAU</x:v>
      </x:c>
      <x:c r="D394" s="22" t="str">
        <x:v>SACARATO OXIDO FERRICO</x:v>
      </x:c>
      <x:c r="E394" s="22" t="str">
        <x:v>SACARATO OXIDO FERRICO</x:v>
      </x:c>
      <x:c r="F394" s="22" t="str">
        <x:v>20MG/ML | 20MG | 5ML</x:v>
      </x:c>
      <x:c r="G394" s="22" t="str"/>
      <x:c r="H394" s="22" t="str">
        <x:v>AP | CX/50 | UN</x:v>
      </x:c>
      <x:c r="I394" s="22" t="str">
        <x:v>UNIDADE</x:v>
      </x:c>
      <x:c r="J394" s="22" t="str">
        <x:v>BLAU</x:v>
      </x:c>
      <x:c r="K394" s="28" t="str">
        <x:f>"GTIN: 7896014673100"</x:f>
        <x:v>GTIN: 7896014673100</x:v>
      </x:c>
      <x:c r="L394" s="28" t="str">
        <x:f>"30049099"</x:f>
        <x:v>30049099</x:v>
      </x:c>
      <x:c r="M394" s="22" t="str">
        <x:v>UN</x:v>
      </x:c>
      <x:c r="N394" s="22" t="str">
        <x:v>UN</x:v>
      </x:c>
      <x:c r="O394" s="22" t="n">
        <x:v>1</x:v>
      </x:c>
      <x:c r="P394" s="28" t="str">
        <x:f>"669"</x:f>
        <x:v>669</x:v>
      </x:c>
      <x:c r="Q394" s="28" t="str">
        <x:f>"SÓF0002"</x:f>
        <x:v>SÓF0002</x:v>
      </x:c>
    </x:row>
    <x:row r="395">
      <x:c r="A395" s="22" t="n">
        <x:v>391</x:v>
      </x:c>
      <x:c r="B395" s="28" t="str">
        <x:f>"SÓF0001"</x:f>
        <x:v>SÓF0001</x:v>
      </x:c>
      <x:c r="C395" s="22" t="str">
        <x:v>SACARATO DE ÓXIDO FÉRRICO 20MG/ML 5ML AP CX/50 - VMG</x:v>
      </x:c>
      <x:c r="D395" s="22" t="str">
        <x:v>SACARATO OXIDO FERRICO</x:v>
      </x:c>
      <x:c r="E395" s="22" t="str">
        <x:v>SACARATO OXIDO FERRICO</x:v>
      </x:c>
      <x:c r="F395" s="22" t="str">
        <x:v>20MG/ML | 20MG | 5ML</x:v>
      </x:c>
      <x:c r="G395" s="22" t="str"/>
      <x:c r="H395" s="22" t="str">
        <x:v>AP | CX/50 | UN</x:v>
      </x:c>
      <x:c r="I395" s="22" t="str">
        <x:v>UNIDADE</x:v>
      </x:c>
      <x:c r="J395" s="22" t="str">
        <x:v>VMG</x:v>
      </x:c>
      <x:c r="K395" s="28" t="str"/>
      <x:c r="L395" s="28" t="str">
        <x:f>"30049099"</x:f>
        <x:v>30049099</x:v>
      </x:c>
      <x:c r="M395" s="22" t="str">
        <x:v>UN</x:v>
      </x:c>
      <x:c r="N395" s="22" t="str">
        <x:v>UN</x:v>
      </x:c>
      <x:c r="O395" s="22" t="n">
        <x:v>1</x:v>
      </x:c>
      <x:c r="P395" s="28" t="str">
        <x:f>"670"</x:f>
        <x:v>670</x:v>
      </x:c>
      <x:c r="Q395" s="28" t="str">
        <x:f>"SÓF0001"</x:f>
        <x:v>SÓF0001</x:v>
      </x:c>
    </x:row>
    <x:row r="396">
      <x:c r="A396" s="22" t="n">
        <x:v>392</x:v>
      </x:c>
      <x:c r="B396" s="28" t="str">
        <x:f>"SLR0003"</x:f>
        <x:v>SLR0003</x:v>
      </x:c>
      <x:c r="C396" s="22" t="str">
        <x:v>SACO DE LIXO 200LT MEDIO (0,90X1,15) C/50</x:v>
      </x:c>
      <x:c r="D396" s="22" t="str">
        <x:v>SACO LIXO 200LT MEDIO</x:v>
      </x:c>
      <x:c r="E396" s="22" t="str">
        <x:v>SACO LIXO 200LT</x:v>
      </x:c>
      <x:c r="F396" s="22" t="str"/>
      <x:c r="G396" s="22" t="str">
        <x:v>0,90X1,15</x:v>
      </x:c>
      <x:c r="H396" s="22" t="str">
        <x:v>PCT</x:v>
      </x:c>
      <x:c r="I396" s="22" t="str">
        <x:v>OUTRA</x:v>
      </x:c>
      <x:c r="J396" s="22" t="str">
        <x:v>S/M</x:v>
      </x:c>
      <x:c r="K396" s="28" t="str">
        <x:f>"GTIN: 7908057012188"</x:f>
        <x:v>GTIN: 7908057012188</x:v>
      </x:c>
      <x:c r="L396" s="28" t="str">
        <x:f>"39232910"</x:f>
        <x:v>39232910</x:v>
      </x:c>
      <x:c r="M396" s="22" t="str">
        <x:v>PCT</x:v>
      </x:c>
      <x:c r="N396" s="22" t="str">
        <x:v>PCT</x:v>
      </x:c>
      <x:c r="O396" s="22" t="n">
        <x:v>1</x:v>
      </x:c>
      <x:c r="P396" s="28" t="str">
        <x:f>"671"</x:f>
        <x:v>671</x:v>
      </x:c>
      <x:c r="Q396" s="28" t="str">
        <x:f>"SLR0003"</x:f>
        <x:v>SLR0003</x:v>
      </x:c>
    </x:row>
    <x:row r="397">
      <x:c r="A397" s="22" t="n">
        <x:v>393</x:v>
      </x:c>
      <x:c r="B397" s="28" t="str">
        <x:f>"SLR0002"</x:f>
        <x:v>SLR0002</x:v>
      </x:c>
      <x:c r="C397" s="22" t="str">
        <x:v>SACO DE LIXO RR 100LT PRETO PCT</x:v>
      </x:c>
      <x:c r="D397" s="22" t="str">
        <x:v>SACO LIXO 100LT PRETO</x:v>
      </x:c>
      <x:c r="E397" s="22" t="str">
        <x:v>SACO LIXO 100LT</x:v>
      </x:c>
      <x:c r="F397" s="22" t="str"/>
      <x:c r="G397" s="22" t="str"/>
      <x:c r="H397" s="22" t="str">
        <x:v>PCT</x:v>
      </x:c>
      <x:c r="I397" s="22" t="str">
        <x:v>OUTRA</x:v>
      </x:c>
      <x:c r="J397" s="22" t="str">
        <x:v>RR</x:v>
      </x:c>
      <x:c r="K397" s="28" t="str">
        <x:f>"GTIN: 7898034640216"</x:f>
        <x:v>GTIN: 7898034640216</x:v>
      </x:c>
      <x:c r="L397" s="28" t="str">
        <x:f>"39232910"</x:f>
        <x:v>39232910</x:v>
      </x:c>
      <x:c r="M397" s="22" t="str">
        <x:v>PCT</x:v>
      </x:c>
      <x:c r="N397" s="22" t="str">
        <x:v>PCT</x:v>
      </x:c>
      <x:c r="O397" s="22" t="n">
        <x:v>1</x:v>
      </x:c>
      <x:c r="P397" s="28" t="str">
        <x:f>"672"</x:f>
        <x:v>672</x:v>
      </x:c>
      <x:c r="Q397" s="28" t="str">
        <x:f>"SLR0002"</x:f>
        <x:v>SLR0002</x:v>
      </x:c>
    </x:row>
    <x:row r="398">
      <x:c r="A398" s="22" t="n">
        <x:v>394</x:v>
      </x:c>
      <x:c r="B398" s="28" t="str">
        <x:f>"SLR0001"</x:f>
        <x:v>SLR0001</x:v>
      </x:c>
      <x:c r="C398" s="22" t="str">
        <x:v>SACO LIXO 240L/300L MEDIO (1,17X1,25) 65,87 C/50</x:v>
      </x:c>
      <x:c r="D398" s="22" t="str">
        <x:v>SACO LIXO MEDIO</x:v>
      </x:c>
      <x:c r="E398" s="22" t="str">
        <x:v>SACO LIXO MEDIO</x:v>
      </x:c>
      <x:c r="F398" s="22" t="str">
        <x:v>240L | 300L</x:v>
      </x:c>
      <x:c r="G398" s="22" t="str">
        <x:v>1,17X1,25</x:v>
      </x:c>
      <x:c r="H398" s="22" t="str">
        <x:v>PCT</x:v>
      </x:c>
      <x:c r="I398" s="22" t="str">
        <x:v>OUTRA</x:v>
      </x:c>
      <x:c r="J398" s="22" t="str">
        <x:v>S/M</x:v>
      </x:c>
      <x:c r="K398" s="28" t="str">
        <x:f>"GTIN: 7898291822493"</x:f>
        <x:v>GTIN: 7898291822493</x:v>
      </x:c>
      <x:c r="L398" s="28" t="str">
        <x:f>"39232910"</x:f>
        <x:v>39232910</x:v>
      </x:c>
      <x:c r="M398" s="22" t="str">
        <x:v>PCT</x:v>
      </x:c>
      <x:c r="N398" s="22" t="str">
        <x:v>PCT</x:v>
      </x:c>
      <x:c r="O398" s="22" t="n">
        <x:v>1</x:v>
      </x:c>
      <x:c r="P398" s="28" t="str">
        <x:f>"673"</x:f>
        <x:v>673</x:v>
      </x:c>
      <x:c r="Q398" s="28" t="str">
        <x:f>"SLR0001"</x:f>
        <x:v>SLR0001</x:v>
      </x:c>
    </x:row>
    <x:row r="399">
      <x:c r="A399" s="22" t="n">
        <x:v>395</x:v>
      </x:c>
      <x:c r="B399" s="28" t="str">
        <x:f>"2255522"</x:f>
        <x:v>2255522</x:v>
      </x:c>
      <x:c r="C399" s="22" t="str">
        <x:v>SAPATILHA BRANCA DESC 20G ANADONA</x:v>
      </x:c>
      <x:c r="D399" s="22" t="str">
        <x:v>SAPATILHA BRANCA DESC</x:v>
      </x:c>
      <x:c r="E399" s="22" t="str">
        <x:v>SAPATILHA BRANCA DESC</x:v>
      </x:c>
      <x:c r="F399" s="22" t="str">
        <x:v>20G</x:v>
      </x:c>
      <x:c r="G399" s="22" t="str">
        <x:v>20G</x:v>
      </x:c>
      <x:c r="H399" s="22" t="str">
        <x:v>UND</x:v>
      </x:c>
      <x:c r="I399" s="22" t="str">
        <x:v>UNIDADE</x:v>
      </x:c>
      <x:c r="J399" s="22" t="str">
        <x:v>ANADONA</x:v>
      </x:c>
      <x:c r="K399" s="28" t="str">
        <x:f>"GTIN: 7898433202299"</x:f>
        <x:v>GTIN: 7898433202299</x:v>
      </x:c>
      <x:c r="L399" s="28" t="str">
        <x:f>"63079010"</x:f>
        <x:v>63079010</x:v>
      </x:c>
      <x:c r="M399" s="22" t="str">
        <x:v>UND</x:v>
      </x:c>
      <x:c r="N399" s="22" t="str">
        <x:v>UND</x:v>
      </x:c>
      <x:c r="O399" s="22" t="n">
        <x:v>1</x:v>
      </x:c>
      <x:c r="P399" s="28" t="str">
        <x:f>"674"</x:f>
        <x:v>674</x:v>
      </x:c>
      <x:c r="Q399" s="28" t="str">
        <x:f>"2255522"</x:f>
        <x:v>2255522</x:v>
      </x:c>
    </x:row>
    <x:row r="400">
      <x:c r="A400" s="22" t="n">
        <x:v>396</x:v>
      </x:c>
      <x:c r="B400" s="28" t="str">
        <x:f>"SBD0001"</x:f>
        <x:v>SBD0001</x:v>
      </x:c>
      <x:c r="C400" s="22" t="str">
        <x:v>SAPATILHA BRANCA DESCARTÁVEL GR LEVE - PCT/100 - DEJAMARO</x:v>
      </x:c>
      <x:c r="D400" s="22" t="str">
        <x:v>SAPATILHA BRANCA DESCARTAVEL GR LEVE</x:v>
      </x:c>
      <x:c r="E400" s="22" t="str">
        <x:v>SAPATILHA BRANCA DESCARTAVEL</x:v>
      </x:c>
      <x:c r="F400" s="22" t="str"/>
      <x:c r="G400" s="22" t="str"/>
      <x:c r="H400" s="22" t="str">
        <x:v>PCT/100 | PCT | CONTEUDO10 | FATOR10</x:v>
      </x:c>
      <x:c r="I400" s="22" t="str">
        <x:v>OUTRA</x:v>
      </x:c>
      <x:c r="J400" s="22" t="str">
        <x:v>DEJAMARO</x:v>
      </x:c>
      <x:c r="K400" s="28" t="str"/>
      <x:c r="L400" s="28" t="str">
        <x:f>"63079010"</x:f>
        <x:v>63079010</x:v>
      </x:c>
      <x:c r="M400" s="22" t="str">
        <x:v>UN</x:v>
      </x:c>
      <x:c r="N400" s="22" t="str">
        <x:v>PCT</x:v>
      </x:c>
      <x:c r="O400" s="22" t="n">
        <x:v>10</x:v>
      </x:c>
      <x:c r="P400" s="28" t="str">
        <x:f>"675"</x:f>
        <x:v>675</x:v>
      </x:c>
      <x:c r="Q400" s="28" t="str">
        <x:f>"SBD0001"</x:f>
        <x:v>SBD0001</x:v>
      </x:c>
    </x:row>
    <x:row r="401">
      <x:c r="A401" s="22" t="n">
        <x:v>397</x:v>
      </x:c>
      <x:c r="B401" s="28" t="str">
        <x:f>"S2S0002"</x:f>
        <x:v>S2S0002</x:v>
      </x:c>
      <x:c r="C401" s="22" t="str">
        <x:v>SCALP 23G WILTEX CX/100</x:v>
      </x:c>
      <x:c r="D401" s="22" t="str">
        <x:v>SCALP</x:v>
      </x:c>
      <x:c r="E401" s="22" t="str">
        <x:v>SCALP</x:v>
      </x:c>
      <x:c r="F401" s="22" t="str">
        <x:v>23G</x:v>
      </x:c>
      <x:c r="G401" s="22" t="str">
        <x:v>23G</x:v>
      </x:c>
      <x:c r="H401" s="22" t="str">
        <x:v>CX/100 | CX | CONTEUDO100 | FATOR100</x:v>
      </x:c>
      <x:c r="I401" s="22" t="str">
        <x:v>CAIXA</x:v>
      </x:c>
      <x:c r="J401" s="22" t="str">
        <x:v>WILTEX</x:v>
      </x:c>
      <x:c r="K401" s="28" t="str">
        <x:f>"GTIN: 7899780129888"</x:f>
        <x:v>GTIN: 7899780129888</x:v>
      </x:c>
      <x:c r="L401" s="28" t="str">
        <x:f>"90183929"</x:f>
        <x:v>90183929</x:v>
      </x:c>
      <x:c r="M401" s="22" t="str">
        <x:v>UN</x:v>
      </x:c>
      <x:c r="N401" s="22" t="str">
        <x:v>CX</x:v>
      </x:c>
      <x:c r="O401" s="22" t="n">
        <x:v>100</x:v>
      </x:c>
      <x:c r="P401" s="28" t="str">
        <x:f>"676"</x:f>
        <x:v>676</x:v>
      </x:c>
      <x:c r="Q401" s="28" t="str">
        <x:f>"S2S0002"</x:f>
        <x:v>S2S0002</x:v>
      </x:c>
    </x:row>
    <x:row r="402">
      <x:c r="A402" s="22" t="n">
        <x:v>398</x:v>
      </x:c>
      <x:c r="B402" s="28" t="str">
        <x:f>"S2S0003"</x:f>
        <x:v>S2S0003</x:v>
      </x:c>
      <x:c r="C402" s="22" t="str">
        <x:v>SCALP 25G WILTEX CX/100</x:v>
      </x:c>
      <x:c r="D402" s="22" t="str">
        <x:v>SCALP WILTEX</x:v>
      </x:c>
      <x:c r="E402" s="22" t="str">
        <x:v>SCALP WILTEX</x:v>
      </x:c>
      <x:c r="F402" s="22" t="str">
        <x:v>25G</x:v>
      </x:c>
      <x:c r="G402" s="22" t="str">
        <x:v>25G</x:v>
      </x:c>
      <x:c r="H402" s="22" t="str">
        <x:v>CX/100 | CX | CONTEUDO100 | FATOR100</x:v>
      </x:c>
      <x:c r="I402" s="22" t="str">
        <x:v>CAIXA</x:v>
      </x:c>
      <x:c r="J402" s="22" t="str">
        <x:v>SAFER</x:v>
      </x:c>
      <x:c r="K402" s="28" t="str">
        <x:f>"GTIN: 6970114920041"</x:f>
        <x:v>GTIN: 6970114920041</x:v>
      </x:c>
      <x:c r="L402" s="28" t="str">
        <x:f>"90183929"</x:f>
        <x:v>90183929</x:v>
      </x:c>
      <x:c r="M402" s="22" t="str">
        <x:v>UN</x:v>
      </x:c>
      <x:c r="N402" s="22" t="str">
        <x:v>CX</x:v>
      </x:c>
      <x:c r="O402" s="22" t="n">
        <x:v>100</x:v>
      </x:c>
      <x:c r="P402" s="28" t="str">
        <x:f>"677"</x:f>
        <x:v>677</x:v>
      </x:c>
      <x:c r="Q402" s="28" t="str">
        <x:f>"S2S0003"</x:f>
        <x:v>S2S0003</x:v>
      </x:c>
    </x:row>
    <x:row r="403">
      <x:c r="A403" s="22" t="n">
        <x:v>399</x:v>
      </x:c>
      <x:c r="B403" s="28" t="str">
        <x:f>"ED20003"</x:f>
        <x:v>ED20003</x:v>
      </x:c>
      <x:c r="C403" s="22" t="str">
        <x:v>SCALP DESCARTAVEL 19G CX/100 MEDIX</x:v>
      </x:c>
      <x:c r="D403" s="22" t="str">
        <x:v>SCALP DESCARTAVEL</x:v>
      </x:c>
      <x:c r="E403" s="22" t="str">
        <x:v>SCALP DESCARTAVEL</x:v>
      </x:c>
      <x:c r="F403" s="22" t="str">
        <x:v>19G</x:v>
      </x:c>
      <x:c r="G403" s="22" t="str">
        <x:v>19G</x:v>
      </x:c>
      <x:c r="H403" s="22" t="str">
        <x:v>CX/100 | CX | CONTEUDO100 | FATOR100</x:v>
      </x:c>
      <x:c r="I403" s="22" t="str">
        <x:v>CAIXA</x:v>
      </x:c>
      <x:c r="J403" s="22" t="str">
        <x:v>MEDIX</x:v>
      </x:c>
      <x:c r="K403" s="28" t="str">
        <x:f>"GTIN: 7898652370533"</x:f>
        <x:v>GTIN: 7898652370533</x:v>
      </x:c>
      <x:c r="L403" s="28" t="str">
        <x:f>"90183921"</x:f>
        <x:v>90183921</x:v>
      </x:c>
      <x:c r="M403" s="22" t="str">
        <x:v>UN</x:v>
      </x:c>
      <x:c r="N403" s="22" t="str">
        <x:v>CX</x:v>
      </x:c>
      <x:c r="O403" s="22" t="n">
        <x:v>100</x:v>
      </x:c>
      <x:c r="P403" s="28" t="str">
        <x:f>"678"</x:f>
        <x:v>678</x:v>
      </x:c>
      <x:c r="Q403" s="28" t="str">
        <x:f>"ED20003"</x:f>
        <x:v>ED20003</x:v>
      </x:c>
    </x:row>
    <x:row r="404">
      <x:c r="A404" s="22" t="n">
        <x:v>400</x:v>
      </x:c>
      <x:c r="B404" s="28" t="str">
        <x:f>"S1S0005"</x:f>
        <x:v>S1S0005</x:v>
      </x:c>
      <x:c r="C404" s="22" t="str">
        <x:v>SERINGA 10ML S/AG BICO LUER LOCK - CX/100 - DESCARPACK</x:v>
      </x:c>
      <x:c r="D404" s="22" t="str">
        <x:v>SERINGA AG BICO LUER LOCK</x:v>
      </x:c>
      <x:c r="E404" s="22" t="str">
        <x:v>SERINGA AG BICO</x:v>
      </x:c>
      <x:c r="F404" s="22" t="str">
        <x:v>10ML</x:v>
      </x:c>
      <x:c r="G404" s="22" t="str"/>
      <x:c r="H404" s="22" t="str">
        <x:v>CX/100 | UND</x:v>
      </x:c>
      <x:c r="I404" s="22" t="str">
        <x:v>SERINGA</x:v>
      </x:c>
      <x:c r="J404" s="22" t="str">
        <x:v>DESCARPACK</x:v>
      </x:c>
      <x:c r="K404" s="28" t="str"/>
      <x:c r="L404" s="28" t="str">
        <x:f>"90183119"</x:f>
        <x:v>90183119</x:v>
      </x:c>
      <x:c r="M404" s="22" t="str">
        <x:v>UND</x:v>
      </x:c>
      <x:c r="N404" s="22" t="str">
        <x:v>UND</x:v>
      </x:c>
      <x:c r="O404" s="22" t="n">
        <x:v>1</x:v>
      </x:c>
      <x:c r="P404" s="28" t="str">
        <x:f>"679"</x:f>
        <x:v>679</x:v>
      </x:c>
      <x:c r="Q404" s="28" t="str">
        <x:f>"S1S0005"</x:f>
        <x:v>S1S0005</x:v>
      </x:c>
    </x:row>
    <x:row r="405">
      <x:c r="A405" s="22" t="n">
        <x:v>401</x:v>
      </x:c>
      <x:c r="B405" s="28" t="str">
        <x:f>"S1S0002"</x:f>
        <x:v>S1S0002</x:v>
      </x:c>
      <x:c r="C405" s="22" t="str">
        <x:v>SERINGA 10ML S/AG BICO LUER LOCK - CX/100 - MEDIX</x:v>
      </x:c>
      <x:c r="D405" s="22" t="str">
        <x:v>SERINGA AG BICO LUER LOCK</x:v>
      </x:c>
      <x:c r="E405" s="22" t="str">
        <x:v>SERINGA AG BICO</x:v>
      </x:c>
      <x:c r="F405" s="22" t="str">
        <x:v>10ML</x:v>
      </x:c>
      <x:c r="G405" s="22" t="str"/>
      <x:c r="H405" s="22" t="str">
        <x:v>CX/100 | UND</x:v>
      </x:c>
      <x:c r="I405" s="22" t="str">
        <x:v>SERINGA</x:v>
      </x:c>
      <x:c r="J405" s="22" t="str">
        <x:v>MEDIX</x:v>
      </x:c>
      <x:c r="K405" s="28" t="str"/>
      <x:c r="L405" s="28" t="str">
        <x:f>"90183119"</x:f>
        <x:v>90183119</x:v>
      </x:c>
      <x:c r="M405" s="22" t="str">
        <x:v>UND</x:v>
      </x:c>
      <x:c r="N405" s="22" t="str">
        <x:v>UND</x:v>
      </x:c>
      <x:c r="O405" s="22" t="n">
        <x:v>1</x:v>
      </x:c>
      <x:c r="P405" s="28" t="str">
        <x:f>"680"</x:f>
        <x:v>680</x:v>
      </x:c>
      <x:c r="Q405" s="28" t="str">
        <x:f>"S1S0002"</x:f>
        <x:v>S1S0002</x:v>
      </x:c>
    </x:row>
    <x:row r="406">
      <x:c r="A406" s="22" t="n">
        <x:v>402</x:v>
      </x:c>
      <x:c r="B406" s="28" t="str">
        <x:f>"S1S0003"</x:f>
        <x:v>S1S0003</x:v>
      </x:c>
      <x:c r="C406" s="22" t="str">
        <x:v>SERINGA 10ML S/AG BICO LUER LOCK - CX/100 - SR</x:v>
      </x:c>
      <x:c r="D406" s="22" t="str">
        <x:v>SERINGA AG BICO LUER LOCK</x:v>
      </x:c>
      <x:c r="E406" s="22" t="str">
        <x:v>SERINGA AG BICO</x:v>
      </x:c>
      <x:c r="F406" s="22" t="str">
        <x:v>10ML</x:v>
      </x:c>
      <x:c r="G406" s="22" t="str"/>
      <x:c r="H406" s="22" t="str">
        <x:v>CX/100 | UND</x:v>
      </x:c>
      <x:c r="I406" s="22" t="str">
        <x:v>SERINGA</x:v>
      </x:c>
      <x:c r="J406" s="22" t="str">
        <x:v>SR</x:v>
      </x:c>
      <x:c r="K406" s="28" t="str"/>
      <x:c r="L406" s="28" t="str">
        <x:f>"90183119"</x:f>
        <x:v>90183119</x:v>
      </x:c>
      <x:c r="M406" s="22" t="str">
        <x:v>UND</x:v>
      </x:c>
      <x:c r="N406" s="22" t="str">
        <x:v>UND</x:v>
      </x:c>
      <x:c r="O406" s="22" t="n">
        <x:v>1</x:v>
      </x:c>
      <x:c r="P406" s="28" t="str">
        <x:f>"681"</x:f>
        <x:v>681</x:v>
      </x:c>
      <x:c r="Q406" s="28" t="str">
        <x:f>"S1S0003"</x:f>
        <x:v>S1S0003</x:v>
      </x:c>
    </x:row>
    <x:row r="407">
      <x:c r="A407" s="22" t="n">
        <x:v>403</x:v>
      </x:c>
      <x:c r="B407" s="28" t="str">
        <x:f>"S1S0007"</x:f>
        <x:v>S1S0007</x:v>
      </x:c>
      <x:c r="C407" s="22" t="str">
        <x:v>SERINGA 10ML S/AG BICO SLIP - CX/100 - MEDIX</x:v>
      </x:c>
      <x:c r="D407" s="22" t="str">
        <x:v>SERINGA AG BICO SLIP</x:v>
      </x:c>
      <x:c r="E407" s="22" t="str">
        <x:v>SERINGA AG BICO</x:v>
      </x:c>
      <x:c r="F407" s="22" t="str">
        <x:v>10ML</x:v>
      </x:c>
      <x:c r="G407" s="22" t="str"/>
      <x:c r="H407" s="22" t="str">
        <x:v>CX/100 | UND</x:v>
      </x:c>
      <x:c r="I407" s="22" t="str">
        <x:v>SERINGA</x:v>
      </x:c>
      <x:c r="J407" s="22" t="str">
        <x:v>MEDIX</x:v>
      </x:c>
      <x:c r="K407" s="28" t="str"/>
      <x:c r="L407" s="28" t="str">
        <x:f>"90183119"</x:f>
        <x:v>90183119</x:v>
      </x:c>
      <x:c r="M407" s="22" t="str">
        <x:v>UND</x:v>
      </x:c>
      <x:c r="N407" s="22" t="str">
        <x:v>UND</x:v>
      </x:c>
      <x:c r="O407" s="22" t="n">
        <x:v>1</x:v>
      </x:c>
      <x:c r="P407" s="28" t="str">
        <x:f>"682"</x:f>
        <x:v>682</x:v>
      </x:c>
      <x:c r="Q407" s="28" t="str">
        <x:f>"S1S0007"</x:f>
        <x:v>S1S0007</x:v>
      </x:c>
    </x:row>
    <x:row r="408">
      <x:c r="A408" s="22" t="n">
        <x:v>404</x:v>
      </x:c>
      <x:c r="B408" s="28" t="str">
        <x:f>"S1S0001"</x:f>
        <x:v>S1S0001</x:v>
      </x:c>
      <x:c r="C408" s="22" t="str">
        <x:v>SERINGA 20ML S/AG BICO LUER SLIP - CX/50 - DESCARPACK</x:v>
      </x:c>
      <x:c r="D408" s="22" t="str">
        <x:v>SERINGA AG BICO LUER SLIP</x:v>
      </x:c>
      <x:c r="E408" s="22" t="str">
        <x:v>SERINGA AG BICO</x:v>
      </x:c>
      <x:c r="F408" s="22" t="str">
        <x:v>20ML</x:v>
      </x:c>
      <x:c r="G408" s="22" t="str"/>
      <x:c r="H408" s="22" t="str">
        <x:v>CX/50 | UND</x:v>
      </x:c>
      <x:c r="I408" s="22" t="str">
        <x:v>SERINGA</x:v>
      </x:c>
      <x:c r="J408" s="22" t="str">
        <x:v>DESCARPACK</x:v>
      </x:c>
      <x:c r="K408" s="28" t="str"/>
      <x:c r="L408" s="28" t="str">
        <x:f>"90183119"</x:f>
        <x:v>90183119</x:v>
      </x:c>
      <x:c r="M408" s="22" t="str">
        <x:v>UND</x:v>
      </x:c>
      <x:c r="N408" s="22" t="str">
        <x:v>UND</x:v>
      </x:c>
      <x:c r="O408" s="22" t="n">
        <x:v>1</x:v>
      </x:c>
      <x:c r="P408" s="28" t="str">
        <x:f>"683"</x:f>
        <x:v>683</x:v>
      </x:c>
      <x:c r="Q408" s="28" t="str">
        <x:f>"S1S0001"</x:f>
        <x:v>S1S0001</x:v>
      </x:c>
    </x:row>
    <x:row r="409">
      <x:c r="A409" s="22" t="n">
        <x:v>405</x:v>
      </x:c>
      <x:c r="B409" s="28" t="str">
        <x:f>"S2S0004"</x:f>
        <x:v>S2S0004</x:v>
      </x:c>
      <x:c r="C409" s="22" t="str">
        <x:v>SERINGA 20ML S/AG LUER LOCK - CX/250 - SR</x:v>
      </x:c>
      <x:c r="D409" s="22" t="str">
        <x:v>SERINGA AG LUER LOCK</x:v>
      </x:c>
      <x:c r="E409" s="22" t="str">
        <x:v>SERINGA AG LUER</x:v>
      </x:c>
      <x:c r="F409" s="22" t="str">
        <x:v>20ML</x:v>
      </x:c>
      <x:c r="G409" s="22" t="str"/>
      <x:c r="H409" s="22" t="str">
        <x:v>CX/250 | CX | CONTEUDO250 | FATOR250</x:v>
      </x:c>
      <x:c r="I409" s="22" t="str">
        <x:v>CAIXA</x:v>
      </x:c>
      <x:c r="J409" s="22" t="str">
        <x:v>SR</x:v>
      </x:c>
      <x:c r="K409" s="28" t="str">
        <x:f>"GTIN: 17842826200017"</x:f>
        <x:v>GTIN: 17842826200017</x:v>
      </x:c>
      <x:c r="L409" s="28" t="str">
        <x:f>"90183119"</x:f>
        <x:v>90183119</x:v>
      </x:c>
      <x:c r="M409" s="22" t="str">
        <x:v>UN</x:v>
      </x:c>
      <x:c r="N409" s="22" t="str">
        <x:v>CX</x:v>
      </x:c>
      <x:c r="O409" s="22" t="n">
        <x:v>250</x:v>
      </x:c>
      <x:c r="P409" s="28" t="str">
        <x:f>"684"</x:f>
        <x:v>684</x:v>
      </x:c>
      <x:c r="Q409" s="28" t="str">
        <x:f>"S2S0004"</x:f>
        <x:v>S2S0004</x:v>
      </x:c>
    </x:row>
    <x:row r="410">
      <x:c r="A410" s="22" t="n">
        <x:v>406</x:v>
      </x:c>
      <x:c r="B410" s="28" t="str">
        <x:f>"S2S0001"</x:f>
        <x:v>S2S0001</x:v>
      </x:c>
      <x:c r="C410" s="22" t="str">
        <x:v>SERINGA 20ML S/AG LUER SLIP - CX/250 - SR</x:v>
      </x:c>
      <x:c r="D410" s="22" t="str">
        <x:v>SERINGA AG LUER SLIP</x:v>
      </x:c>
      <x:c r="E410" s="22" t="str">
        <x:v>SERINGA AG LUER</x:v>
      </x:c>
      <x:c r="F410" s="22" t="str">
        <x:v>20ML</x:v>
      </x:c>
      <x:c r="G410" s="22" t="str"/>
      <x:c r="H410" s="22" t="str">
        <x:v>CX/250 | CX | CONTEUDO250 | FATOR250</x:v>
      </x:c>
      <x:c r="I410" s="22" t="str">
        <x:v>CAIXA</x:v>
      </x:c>
      <x:c r="J410" s="22" t="str">
        <x:v>SR</x:v>
      </x:c>
      <x:c r="K410" s="28" t="str">
        <x:f>"GTIN: 17842826200017"</x:f>
        <x:v>GTIN: 17842826200017</x:v>
      </x:c>
      <x:c r="L410" s="28" t="str">
        <x:f>"90183119"</x:f>
        <x:v>90183119</x:v>
      </x:c>
      <x:c r="M410" s="22" t="str">
        <x:v>UN</x:v>
      </x:c>
      <x:c r="N410" s="22" t="str">
        <x:v>CX</x:v>
      </x:c>
      <x:c r="O410" s="22" t="n">
        <x:v>250</x:v>
      </x:c>
      <x:c r="P410" s="28" t="str">
        <x:f>"685"</x:f>
        <x:v>685</x:v>
      </x:c>
      <x:c r="Q410" s="28" t="str">
        <x:f>"S2S0001"</x:f>
        <x:v>S2S0001</x:v>
      </x:c>
    </x:row>
    <x:row r="411">
      <x:c r="A411" s="22" t="n">
        <x:v>407</x:v>
      </x:c>
      <x:c r="B411" s="28" t="str">
        <x:f>"S1S0004"</x:f>
        <x:v>S1S0004</x:v>
      </x:c>
      <x:c r="C411" s="22" t="str">
        <x:v>SERINGA 3ML S/AG BICO LUER LOCK - CX/500 - SR</x:v>
      </x:c>
      <x:c r="D411" s="22" t="str">
        <x:v>SERINGA AG BICO LUER LOCK</x:v>
      </x:c>
      <x:c r="E411" s="22" t="str">
        <x:v>SERINGA AG BICO</x:v>
      </x:c>
      <x:c r="F411" s="22" t="str">
        <x:v>3ML</x:v>
      </x:c>
      <x:c r="G411" s="22" t="str"/>
      <x:c r="H411" s="22" t="str">
        <x:v>CX/500 | UND</x:v>
      </x:c>
      <x:c r="I411" s="22" t="str">
        <x:v>SERINGA</x:v>
      </x:c>
      <x:c r="J411" s="22" t="str">
        <x:v>SR</x:v>
      </x:c>
      <x:c r="K411" s="28" t="str">
        <x:f>"GTIN: 7899080337686"</x:f>
        <x:v>GTIN: 7899080337686</x:v>
      </x:c>
      <x:c r="L411" s="28" t="str">
        <x:f>"90183119"</x:f>
        <x:v>90183119</x:v>
      </x:c>
      <x:c r="M411" s="22" t="str">
        <x:v>UND</x:v>
      </x:c>
      <x:c r="N411" s="22" t="str">
        <x:v>UND</x:v>
      </x:c>
      <x:c r="O411" s="22" t="n">
        <x:v>1</x:v>
      </x:c>
      <x:c r="P411" s="28" t="str">
        <x:f>"686"</x:f>
        <x:v>686</x:v>
      </x:c>
      <x:c r="Q411" s="28" t="str">
        <x:f>"S1S0004"</x:f>
        <x:v>S1S0004</x:v>
      </x:c>
    </x:row>
    <x:row r="412">
      <x:c r="A412" s="22" t="n">
        <x:v>408</x:v>
      </x:c>
      <x:c r="B412" s="28" t="str">
        <x:f>"S3S0001"</x:f>
        <x:v>S3S0001</x:v>
      </x:c>
      <x:c r="C412" s="22" t="str">
        <x:v>SERINGA 3ML S/AG BICO LUER SLIP - CX/500 - SR</x:v>
      </x:c>
      <x:c r="D412" s="22" t="str">
        <x:v>SERINGA AG BICO LUER SLIP</x:v>
      </x:c>
      <x:c r="E412" s="22" t="str">
        <x:v>SERINGA AG BICO</x:v>
      </x:c>
      <x:c r="F412" s="22" t="str">
        <x:v>3ML</x:v>
      </x:c>
      <x:c r="G412" s="22" t="str"/>
      <x:c r="H412" s="22" t="str">
        <x:v>CX/500 | UND</x:v>
      </x:c>
      <x:c r="I412" s="22" t="str">
        <x:v>SERINGA</x:v>
      </x:c>
      <x:c r="J412" s="22" t="str">
        <x:v>SR</x:v>
      </x:c>
      <x:c r="K412" s="28" t="str">
        <x:f>"GTIN: 7899080337686"</x:f>
        <x:v>GTIN: 7899080337686</x:v>
      </x:c>
      <x:c r="L412" s="28" t="str">
        <x:f>"90183119"</x:f>
        <x:v>90183119</x:v>
      </x:c>
      <x:c r="M412" s="22" t="str">
        <x:v>UND</x:v>
      </x:c>
      <x:c r="N412" s="22" t="str">
        <x:v>UND</x:v>
      </x:c>
      <x:c r="O412" s="22" t="n">
        <x:v>1</x:v>
      </x:c>
      <x:c r="P412" s="28" t="str">
        <x:f>"687 | 688"</x:f>
        <x:v>687 | 688</x:v>
      </x:c>
      <x:c r="Q412" s="28" t="str">
        <x:f>"S3S0001 | S3S0002"</x:f>
        <x:v>S3S0001 | S3S0002</x:v>
      </x:c>
    </x:row>
    <x:row r="413">
      <x:c r="A413" s="22" t="n">
        <x:v>409</x:v>
      </x:c>
      <x:c r="B413" s="28" t="str">
        <x:f>"SH60002"</x:f>
        <x:v>SH60002</x:v>
      </x:c>
      <x:c r="C413" s="22" t="str">
        <x:v>SERINGA 50ML BICO CATETER - CX/40 - BD</x:v>
      </x:c>
      <x:c r="D413" s="22" t="str">
        <x:v>SERINGA BICO CATETER</x:v>
      </x:c>
      <x:c r="E413" s="22" t="str">
        <x:v>SERINGA BICO CATETER</x:v>
      </x:c>
      <x:c r="F413" s="22" t="str">
        <x:v>50ML</x:v>
      </x:c>
      <x:c r="G413" s="22" t="str"/>
      <x:c r="H413" s="22" t="str">
        <x:v>CX/40 | CX | CONTEUDO40 | FATOR40</x:v>
      </x:c>
      <x:c r="I413" s="22" t="str">
        <x:v>CAIXA</x:v>
      </x:c>
      <x:c r="J413" s="22" t="str">
        <x:v>BD</x:v>
      </x:c>
      <x:c r="K413" s="28" t="str">
        <x:f>"GTIN: 382903035533"</x:f>
        <x:v>GTIN: 382903035533</x:v>
      </x:c>
      <x:c r="L413" s="28" t="str">
        <x:f>"90183119"</x:f>
        <x:v>90183119</x:v>
      </x:c>
      <x:c r="M413" s="22" t="str">
        <x:v>UN</x:v>
      </x:c>
      <x:c r="N413" s="22" t="str">
        <x:v>CX</x:v>
      </x:c>
      <x:c r="O413" s="22" t="n">
        <x:v>40</x:v>
      </x:c>
      <x:c r="P413" s="28" t="str">
        <x:f>"689"</x:f>
        <x:v>689</x:v>
      </x:c>
      <x:c r="Q413" s="28" t="str">
        <x:f>"SH60002"</x:f>
        <x:v>SH60002</x:v>
      </x:c>
    </x:row>
    <x:row r="414">
      <x:c r="A414" s="22" t="n">
        <x:v>410</x:v>
      </x:c>
      <x:c r="B414" s="28" t="str">
        <x:f>"S1S0006"</x:f>
        <x:v>S1S0006</x:v>
      </x:c>
      <x:c r="C414" s="22" t="str">
        <x:v>SERINGA 5ML S/AG BICO LUER SLIP - CX/50 - SR</x:v>
      </x:c>
      <x:c r="D414" s="22" t="str">
        <x:v>SERINGA AG BICO LUER SLIP</x:v>
      </x:c>
      <x:c r="E414" s="22" t="str">
        <x:v>SERINGA AG BICO</x:v>
      </x:c>
      <x:c r="F414" s="22" t="str">
        <x:v>5ML</x:v>
      </x:c>
      <x:c r="G414" s="22" t="str"/>
      <x:c r="H414" s="22" t="str">
        <x:v>CX/50 | UND</x:v>
      </x:c>
      <x:c r="I414" s="22" t="str">
        <x:v>SERINGA</x:v>
      </x:c>
      <x:c r="J414" s="22" t="str">
        <x:v>SR</x:v>
      </x:c>
      <x:c r="K414" s="28" t="str"/>
      <x:c r="L414" s="28" t="str">
        <x:f>"90183119"</x:f>
        <x:v>90183119</x:v>
      </x:c>
      <x:c r="M414" s="22" t="str">
        <x:v>UND</x:v>
      </x:c>
      <x:c r="N414" s="22" t="str">
        <x:v>UND</x:v>
      </x:c>
      <x:c r="O414" s="22" t="n">
        <x:v>1</x:v>
      </x:c>
      <x:c r="P414" s="28" t="str">
        <x:f>"690"</x:f>
        <x:v>690</x:v>
      </x:c>
      <x:c r="Q414" s="28" t="str">
        <x:f>"S1S0006"</x:f>
        <x:v>S1S0006</x:v>
      </x:c>
    </x:row>
    <x:row r="415">
      <x:c r="A415" s="22" t="n">
        <x:v>411</x:v>
      </x:c>
      <x:c r="B415" s="28" t="str">
        <x:f>"S2S0005"</x:f>
        <x:v>S2S0005</x:v>
      </x:c>
      <x:c r="C415" s="22" t="str">
        <x:v>SERINGA 5ML S/AG LUER LOCK - CX/500 - SR</x:v>
      </x:c>
      <x:c r="D415" s="22" t="str">
        <x:v>SERINGA AG LUER LOCK</x:v>
      </x:c>
      <x:c r="E415" s="22" t="str">
        <x:v>SERINGA AG LUER</x:v>
      </x:c>
      <x:c r="F415" s="22" t="str">
        <x:v>5ML</x:v>
      </x:c>
      <x:c r="G415" s="22" t="str"/>
      <x:c r="H415" s="22" t="str">
        <x:v>CX/500 | CX | CONTEUDO500 | FATOR500</x:v>
      </x:c>
      <x:c r="I415" s="22" t="str">
        <x:v>CAIXA</x:v>
      </x:c>
      <x:c r="J415" s="22" t="str">
        <x:v>SR</x:v>
      </x:c>
      <x:c r="K415" s="28" t="str">
        <x:f>"GTIN: 17842826200017"</x:f>
        <x:v>GTIN: 17842826200017</x:v>
      </x:c>
      <x:c r="L415" s="28" t="str">
        <x:f>"90183119"</x:f>
        <x:v>90183119</x:v>
      </x:c>
      <x:c r="M415" s="22" t="str">
        <x:v>UN</x:v>
      </x:c>
      <x:c r="N415" s="22" t="str">
        <x:v>CX</x:v>
      </x:c>
      <x:c r="O415" s="22" t="n">
        <x:v>500</x:v>
      </x:c>
      <x:c r="P415" s="28" t="str">
        <x:f>"691"</x:f>
        <x:v>691</x:v>
      </x:c>
      <x:c r="Q415" s="28" t="str">
        <x:f>"S2S0005"</x:f>
        <x:v>S2S0005</x:v>
      </x:c>
    </x:row>
    <x:row r="416">
      <x:c r="A416" s="22" t="n">
        <x:v>412</x:v>
      </x:c>
      <x:c r="B416" s="28" t="str">
        <x:f>"S6S0001"</x:f>
        <x:v>S6S0001</x:v>
      </x:c>
      <x:c r="C416" s="22" t="str">
        <x:v>SERINGA 60ML S/AG BICO CATETER CX/100 SR</x:v>
      </x:c>
      <x:c r="D416" s="22" t="str">
        <x:v>SERINGA AG BICO CATETER</x:v>
      </x:c>
      <x:c r="E416" s="22" t="str">
        <x:v>SERINGA AG BICO</x:v>
      </x:c>
      <x:c r="F416" s="22" t="str">
        <x:v>60ML</x:v>
      </x:c>
      <x:c r="G416" s="22" t="str"/>
      <x:c r="H416" s="22" t="str">
        <x:v>CX/100 | CX | CONTEUDO100 | FATOR100</x:v>
      </x:c>
      <x:c r="I416" s="22" t="str">
        <x:v>CAIXA</x:v>
      </x:c>
      <x:c r="J416" s="22" t="str">
        <x:v>SR</x:v>
      </x:c>
      <x:c r="K416" s="28" t="str">
        <x:f>"GTIN: 7842826600056"</x:f>
        <x:v>GTIN: 7842826600056</x:v>
      </x:c>
      <x:c r="L416" s="28" t="str">
        <x:f>"90183119"</x:f>
        <x:v>90183119</x:v>
      </x:c>
      <x:c r="M416" s="22" t="str">
        <x:v>UN</x:v>
      </x:c>
      <x:c r="N416" s="22" t="str">
        <x:v>CX</x:v>
      </x:c>
      <x:c r="O416" s="22" t="n">
        <x:v>100</x:v>
      </x:c>
      <x:c r="P416" s="28" t="str">
        <x:f>"692"</x:f>
        <x:v>692</x:v>
      </x:c>
      <x:c r="Q416" s="28" t="str">
        <x:f>"S6S0001"</x:f>
        <x:v>S6S0001</x:v>
      </x:c>
    </x:row>
    <x:row r="417">
      <x:c r="A417" s="22" t="n">
        <x:v>413</x:v>
      </x:c>
      <x:c r="B417" s="28" t="str">
        <x:f>"S6S0002"</x:f>
        <x:v>S6S0002</x:v>
      </x:c>
      <x:c r="C417" s="22" t="str">
        <x:v>SERINGA 60ML S/AG BICO LUER SLIP CX/100 SR</x:v>
      </x:c>
      <x:c r="D417" s="22" t="str">
        <x:v>SERINGA AG BICO LUER SLIP</x:v>
      </x:c>
      <x:c r="E417" s="22" t="str">
        <x:v>SERINGA AG BICO</x:v>
      </x:c>
      <x:c r="F417" s="22" t="str">
        <x:v>60ML</x:v>
      </x:c>
      <x:c r="G417" s="22" t="str"/>
      <x:c r="H417" s="22" t="str">
        <x:v>CX/100 | CX | CONTEUDO100 | FATOR100</x:v>
      </x:c>
      <x:c r="I417" s="22" t="str">
        <x:v>CAIXA</x:v>
      </x:c>
      <x:c r="J417" s="22" t="str">
        <x:v>SR</x:v>
      </x:c>
      <x:c r="K417" s="28" t="str">
        <x:f>"GTIN: 7842826600032"</x:f>
        <x:v>GTIN: 7842826600032</x:v>
      </x:c>
      <x:c r="L417" s="28" t="str">
        <x:f>"90183119"</x:f>
        <x:v>90183119</x:v>
      </x:c>
      <x:c r="M417" s="22" t="str">
        <x:v>UN</x:v>
      </x:c>
      <x:c r="N417" s="22" t="str">
        <x:v>CX</x:v>
      </x:c>
      <x:c r="O417" s="22" t="n">
        <x:v>100</x:v>
      </x:c>
      <x:c r="P417" s="28" t="str">
        <x:f>"693"</x:f>
        <x:v>693</x:v>
      </x:c>
      <x:c r="Q417" s="28" t="str">
        <x:f>"S6S0002"</x:f>
        <x:v>S6S0002</x:v>
      </x:c>
    </x:row>
    <x:row r="418">
      <x:c r="A418" s="22" t="n">
        <x:v>414</x:v>
      </x:c>
      <x:c r="B418" s="28" t="str">
        <x:f>"SPI0004"</x:f>
        <x:v>SPI0004</x:v>
      </x:c>
      <x:c r="C418" s="22" t="str">
        <x:v>SERINGA P/ ALIMENTAÇÃO 1ML - CX/30 - (FREKA CONNECT) FRESENIUS</x:v>
      </x:c>
      <x:c r="D418" s="22" t="str">
        <x:v>SERINGA ALIMENTACAO</x:v>
      </x:c>
      <x:c r="E418" s="22" t="str">
        <x:v>SERINGA ALIMENTACAO</x:v>
      </x:c>
      <x:c r="F418" s="22" t="str">
        <x:v>1ML</x:v>
      </x:c>
      <x:c r="G418" s="22" t="str"/>
      <x:c r="H418" s="22" t="str">
        <x:v>CX/30 | CX | CONTEUDO30 | FATOR30</x:v>
      </x:c>
      <x:c r="I418" s="22" t="str">
        <x:v>CAIXA</x:v>
      </x:c>
      <x:c r="J418" s="22" t="str">
        <x:v>FRESENIUS</x:v>
      </x:c>
      <x:c r="K418" s="28" t="str">
        <x:f>"GTIN: 07898259490221"</x:f>
        <x:v>GTIN: 07898259490221</x:v>
      </x:c>
      <x:c r="L418" s="28" t="str">
        <x:f>"90183119"</x:f>
        <x:v>90183119</x:v>
      </x:c>
      <x:c r="M418" s="22" t="str">
        <x:v>UN</x:v>
      </x:c>
      <x:c r="N418" s="22" t="str">
        <x:v>CX</x:v>
      </x:c>
      <x:c r="O418" s="22" t="n">
        <x:v>30</x:v>
      </x:c>
      <x:c r="P418" s="28" t="str">
        <x:f>"694"</x:f>
        <x:v>694</x:v>
      </x:c>
      <x:c r="Q418" s="28" t="str">
        <x:f>"SPI0004"</x:f>
        <x:v>SPI0004</x:v>
      </x:c>
    </x:row>
    <x:row r="419">
      <x:c r="A419" s="22" t="n">
        <x:v>415</x:v>
      </x:c>
      <x:c r="B419" s="28" t="str">
        <x:f>"SPI0002"</x:f>
        <x:v>SPI0002</x:v>
      </x:c>
      <x:c r="C419" s="22" t="str">
        <x:v>SERINGA P/ INSULINA 0,5ML C/AG 0,25X6MM CX/100 - SR</x:v>
      </x:c>
      <x:c r="D419" s="22" t="str">
        <x:v>SERINGA INSULINA AG</x:v>
      </x:c>
      <x:c r="E419" s="22" t="str">
        <x:v>SERINGA INSULINA AG</x:v>
      </x:c>
      <x:c r="F419" s="22" t="str">
        <x:v>0,5ML</x:v>
      </x:c>
      <x:c r="G419" s="22" t="str">
        <x:v>0,25X6MM</x:v>
      </x:c>
      <x:c r="H419" s="22" t="str">
        <x:v>CX/100 | CX | CONTEUDO100 | FATOR100</x:v>
      </x:c>
      <x:c r="I419" s="22" t="str">
        <x:v>CAIXA</x:v>
      </x:c>
      <x:c r="J419" s="22" t="str">
        <x:v>SR</x:v>
      </x:c>
      <x:c r="K419" s="28" t="str">
        <x:f>"GTIN: 7898579240216"</x:f>
        <x:v>GTIN: 7898579240216</x:v>
      </x:c>
      <x:c r="L419" s="28" t="str">
        <x:f>"90183119"</x:f>
        <x:v>90183119</x:v>
      </x:c>
      <x:c r="M419" s="22" t="str">
        <x:v>UN</x:v>
      </x:c>
      <x:c r="N419" s="22" t="str">
        <x:v>CX</x:v>
      </x:c>
      <x:c r="O419" s="22" t="n">
        <x:v>100</x:v>
      </x:c>
      <x:c r="P419" s="28" t="str">
        <x:f>"695"</x:f>
        <x:v>695</x:v>
      </x:c>
      <x:c r="Q419" s="28" t="str">
        <x:f>"SPI0002"</x:f>
        <x:v>SPI0002</x:v>
      </x:c>
    </x:row>
    <x:row r="420">
      <x:c r="A420" s="22" t="n">
        <x:v>416</x:v>
      </x:c>
      <x:c r="B420" s="28" t="str">
        <x:f>"SPI0001"</x:f>
        <x:v>SPI0001</x:v>
      </x:c>
      <x:c r="C420" s="22" t="str">
        <x:v>SERINGA P/ INSULINA 1ML C/AG 13X0,45 - CX/500 - SR</x:v>
      </x:c>
      <x:c r="D420" s="22" t="str">
        <x:v>SERINGA INSULINA AG</x:v>
      </x:c>
      <x:c r="E420" s="22" t="str">
        <x:v>SERINGA INSULINA AG</x:v>
      </x:c>
      <x:c r="F420" s="22" t="str">
        <x:v>1ML</x:v>
      </x:c>
      <x:c r="G420" s="22" t="str">
        <x:v>13X0,45</x:v>
      </x:c>
      <x:c r="H420" s="22" t="str">
        <x:v>CX/500 | CX | CONTEUDO500 | FATOR500</x:v>
      </x:c>
      <x:c r="I420" s="22" t="str">
        <x:v>CAIXA</x:v>
      </x:c>
      <x:c r="J420" s="22" t="str">
        <x:v>SR</x:v>
      </x:c>
      <x:c r="K420" s="28" t="str">
        <x:f>"GTIN: 7898960950656"</x:f>
        <x:v>GTIN: 7898960950656</x:v>
      </x:c>
      <x:c r="L420" s="28" t="str">
        <x:f>"90183119"</x:f>
        <x:v>90183119</x:v>
      </x:c>
      <x:c r="M420" s="22" t="str">
        <x:v>UN</x:v>
      </x:c>
      <x:c r="N420" s="22" t="str">
        <x:v>CX</x:v>
      </x:c>
      <x:c r="O420" s="22" t="n">
        <x:v>500</x:v>
      </x:c>
      <x:c r="P420" s="28" t="str">
        <x:f>"696"</x:f>
        <x:v>696</x:v>
      </x:c>
      <x:c r="Q420" s="28" t="str">
        <x:f>"SPI0001"</x:f>
        <x:v>SPI0001</x:v>
      </x:c>
    </x:row>
    <x:row r="421">
      <x:c r="A421" s="22" t="n">
        <x:v>417</x:v>
      </x:c>
      <x:c r="B421" s="28" t="str">
        <x:f>"S2-0023"</x:f>
        <x:v>S2-0023</x:v>
      </x:c>
      <x:c r="C421" s="22" t="str">
        <x:v>SEVOFLURANO 250ML - CRISTALIA</x:v>
      </x:c>
      <x:c r="D421" s="22" t="str">
        <x:v>SEVOFLURANO</x:v>
      </x:c>
      <x:c r="E421" s="22" t="str">
        <x:v>SEVOFLURANO</x:v>
      </x:c>
      <x:c r="F421" s="22" t="str">
        <x:v>250ML</x:v>
      </x:c>
      <x:c r="G421" s="22" t="str"/>
      <x:c r="H421" s="22" t="str">
        <x:v>UND</x:v>
      </x:c>
      <x:c r="I421" s="22" t="str">
        <x:v>UNIDADE</x:v>
      </x:c>
      <x:c r="J421" s="22" t="str">
        <x:v>CRISTALIA</x:v>
      </x:c>
      <x:c r="K421" s="28" t="str"/>
      <x:c r="L421" s="28" t="str">
        <x:f>"30049099"</x:f>
        <x:v>30049099</x:v>
      </x:c>
      <x:c r="M421" s="22" t="str">
        <x:v>UND</x:v>
      </x:c>
      <x:c r="N421" s="22" t="str">
        <x:v>UND</x:v>
      </x:c>
      <x:c r="O421" s="22" t="n">
        <x:v>1</x:v>
      </x:c>
      <x:c r="P421" s="28" t="str">
        <x:f>"697 | 705 | 706 | 707 | 708 | 709 | 710 | 711 | 712 | 713 | 714 | 715 | 716 | 717 | 718 | 719"</x:f>
        <x:v>697 | 705 | 706 | 707 | 708 | 709 | 710 | 711 | 712 | 713 | 714 | 715 | 716 | 717 | 718 | 719</x:v>
      </x:c>
      <x:c r="Q421" s="28" t="str">
        <x:f>"S2-0023 | S2-0019 | S2-0017 | S2-0012 | S2-0015 | S2-0014 | S2-0022 | S2-0016 | S2C0006 | S2-0008 | S2-0036 | S2-0026 | S2-0005 | S2-0006 | S2-0004 | S2-0003"</x:f>
        <x:v>S2-0023 | S2-0019 | S2-0017 | S2-0012 | S2-0015 | S2-0014 | S2-0022 | S2-0016 | S2C0006 | S2-0008 | S2-0036 | S2-0026 | S2-0005 | S2-0006 | S2-0004 | S2-0003</x:v>
      </x:c>
    </x:row>
    <x:row r="422">
      <x:c r="A422" s="22" t="n">
        <x:v>418</x:v>
      </x:c>
      <x:c r="B422" s="28" t="str">
        <x:f>"S2-0013"</x:f>
        <x:v>S2-0013</x:v>
      </x:c>
      <x:c r="C422" s="22" t="str">
        <x:v>SEVOFLURANO 250ML - UNIÃO QUIMICA</x:v>
      </x:c>
      <x:c r="D422" s="22" t="str">
        <x:v>SEVOFLURANO</x:v>
      </x:c>
      <x:c r="E422" s="22" t="str">
        <x:v>SEVOFLURANO</x:v>
      </x:c>
      <x:c r="F422" s="22" t="str">
        <x:v>250ML</x:v>
      </x:c>
      <x:c r="G422" s="22" t="str"/>
      <x:c r="H422" s="22" t="str">
        <x:v>UND</x:v>
      </x:c>
      <x:c r="I422" s="22" t="str">
        <x:v>UNIDADE</x:v>
      </x:c>
      <x:c r="J422" s="22" t="str">
        <x:v>UNIÃO QUIMICA</x:v>
      </x:c>
      <x:c r="K422" s="28" t="str"/>
      <x:c r="L422" s="28" t="str">
        <x:f>"30049099"</x:f>
        <x:v>30049099</x:v>
      </x:c>
      <x:c r="M422" s="22" t="str">
        <x:v>UND</x:v>
      </x:c>
      <x:c r="N422" s="22" t="str">
        <x:v>UND</x:v>
      </x:c>
      <x:c r="O422" s="22" t="n">
        <x:v>1</x:v>
      </x:c>
      <x:c r="P422" s="28" t="str">
        <x:f>"698 | 699 | 700 | 701 | 702 | 703 | 704 | 720 | 721 | 722 | 723"</x:f>
        <x:v>698 | 699 | 700 | 701 | 702 | 703 | 704 | 720 | 721 | 722 | 723</x:v>
      </x:c>
      <x:c r="Q422" s="28" t="str">
        <x:f>"S2-0011 | S2-0009 | S2U0028 | S2-0007 | S2-0013 | S2-0018 | S2-0020 | S2U0006 | S2-0021 | S2-0002 | S2-0010"</x:f>
        <x:v>S2-0011 | S2-0009 | S2U0028 | S2-0007 | S2-0013 | S2-0018 | S2-0020 | S2U0006 | S2-0021 | S2-0002 | S2-0010</x:v>
      </x:c>
    </x:row>
    <x:row r="423">
      <x:c r="A423" s="22" t="n">
        <x:v>419</x:v>
      </x:c>
      <x:c r="B423" s="28" t="str">
        <x:f>"SS20008"</x:f>
        <x:v>SS20008</x:v>
      </x:c>
      <x:c r="C423" s="22" t="str">
        <x:v>SEVOFLURANO SEVONESS 250ML - BAXTER</x:v>
      </x:c>
      <x:c r="D423" s="22" t="str">
        <x:v>SEVOFLURANO SEVONESS</x:v>
      </x:c>
      <x:c r="E423" s="22" t="str">
        <x:v>SEVOFLURANO SEVONESS</x:v>
      </x:c>
      <x:c r="F423" s="22" t="str">
        <x:v>250ML</x:v>
      </x:c>
      <x:c r="G423" s="22" t="str"/>
      <x:c r="H423" s="22" t="str">
        <x:v>UND</x:v>
      </x:c>
      <x:c r="I423" s="22" t="str">
        <x:v>UNIDADE</x:v>
      </x:c>
      <x:c r="J423" s="22" t="str">
        <x:v>BAXTER</x:v>
      </x:c>
      <x:c r="K423" s="28" t="str">
        <x:f>"GTIN: 07896006209980"</x:f>
        <x:v>GTIN: 07896006209980</x:v>
      </x:c>
      <x:c r="L423" s="28" t="str">
        <x:f>"30049099"</x:f>
        <x:v>30049099</x:v>
      </x:c>
      <x:c r="M423" s="22" t="str">
        <x:v>UND</x:v>
      </x:c>
      <x:c r="N423" s="22" t="str">
        <x:v>UND</x:v>
      </x:c>
      <x:c r="O423" s="22" t="n">
        <x:v>1</x:v>
      </x:c>
      <x:c r="P423" s="28" t="str">
        <x:f>"724 | 725 | 726 | 727 | 728 | 729 | 730"</x:f>
        <x:v>724 | 725 | 726 | 727 | 728 | 729 | 730</x:v>
      </x:c>
      <x:c r="Q423" s="28" t="str">
        <x:f>"SS20001 | SS20005 | SS20008 | SS20003 | S2-0001 | SS20002 | SS20004"</x:f>
        <x:v>SS20001 | SS20005 | SS20008 | SS20003 | S2-0001 | SS20002 | SS20004</x:v>
      </x:c>
    </x:row>
    <x:row r="424">
      <x:c r="A424" s="22" t="n">
        <x:v>420</x:v>
      </x:c>
      <x:c r="B424" s="28" t="str">
        <x:f>"SS20007"</x:f>
        <x:v>SS20007</x:v>
      </x:c>
      <x:c r="C424" s="22" t="str">
        <x:v>SEVOFLURANO SEVONESS 250ML - BIOCHIMICO</x:v>
      </x:c>
      <x:c r="D424" s="22" t="str">
        <x:v>SEVOFLURANO SEVONESS</x:v>
      </x:c>
      <x:c r="E424" s="22" t="str">
        <x:v>SEVOFLURANO SEVONESS</x:v>
      </x:c>
      <x:c r="F424" s="22" t="str">
        <x:v>250ML</x:v>
      </x:c>
      <x:c r="G424" s="22" t="str"/>
      <x:c r="H424" s="22" t="str">
        <x:v>UND</x:v>
      </x:c>
      <x:c r="I424" s="22" t="str">
        <x:v>UNIDADE</x:v>
      </x:c>
      <x:c r="J424" s="22" t="str">
        <x:v>BIOCHIMICO</x:v>
      </x:c>
      <x:c r="K424" s="28" t="str"/>
      <x:c r="L424" s="28" t="str">
        <x:f>"30049099"</x:f>
        <x:v>30049099</x:v>
      </x:c>
      <x:c r="M424" s="22" t="str">
        <x:v>UND</x:v>
      </x:c>
      <x:c r="N424" s="22" t="str">
        <x:v>UND</x:v>
      </x:c>
      <x:c r="O424" s="22" t="n">
        <x:v>1</x:v>
      </x:c>
      <x:c r="P424" s="28" t="str">
        <x:f>"731 | 732 | 733"</x:f>
        <x:v>731 | 732 | 733</x:v>
      </x:c>
      <x:c r="Q424" s="28" t="str">
        <x:f>"SS20007 | SS20006 | SS20009"</x:f>
        <x:v>SS20007 | SS20006 | SS20009</x:v>
      </x:c>
    </x:row>
    <x:row r="425">
      <x:c r="A425" s="22" t="n">
        <x:v>421</x:v>
      </x:c>
      <x:c r="B425" s="28" t="str">
        <x:f>"S4C0003"</x:f>
        <x:v>S4C0003</x:v>
      </x:c>
      <x:c r="C425" s="22" t="str">
        <x:v>SIMETICONA 40MG - CX/400CP - PHARMASCIENCE</x:v>
      </x:c>
      <x:c r="D425" s="22" t="str">
        <x:v>SIMETICONA 400CP PHARMASCIENCE</x:v>
      </x:c>
      <x:c r="E425" s="22" t="str">
        <x:v>SIMETICONA 400CP PHARMASCIENCE</x:v>
      </x:c>
      <x:c r="F425" s="22" t="str">
        <x:v>40MG</x:v>
      </x:c>
      <x:c r="G425" s="22" t="str"/>
      <x:c r="H425" s="22" t="str">
        <x:v>CX/ | 1C/20C</x:v>
      </x:c>
      <x:c r="I425" s="22" t="str">
        <x:v>OUTRA</x:v>
      </x:c>
      <x:c r="J425" s="22" t="str">
        <x:v>AIRELA</x:v>
      </x:c>
      <x:c r="K425" s="28" t="str">
        <x:f>"GTIN: 7898014567816"</x:f>
        <x:v>GTIN: 7898014567816</x:v>
      </x:c>
      <x:c r="L425" s="28" t="str">
        <x:f>"30049079"</x:f>
        <x:v>30049079</x:v>
      </x:c>
      <x:c r="M425" s="22" t="str">
        <x:v>1C/20C</x:v>
      </x:c>
      <x:c r="N425" s="22" t="str">
        <x:v>1C/20C</x:v>
      </x:c>
      <x:c r="O425" s="22" t="n">
        <x:v>1</x:v>
      </x:c>
      <x:c r="P425" s="28" t="str">
        <x:f>"734"</x:f>
        <x:v>734</x:v>
      </x:c>
      <x:c r="Q425" s="28" t="str">
        <x:f>"S4C0003"</x:f>
        <x:v>S4C0003</x:v>
      </x:c>
    </x:row>
    <x:row r="426">
      <x:c r="A426" s="22" t="n">
        <x:v>422</x:v>
      </x:c>
      <x:c r="B426" s="28" t="str">
        <x:f>"SAS0002"</x:f>
        <x:v>SAS0002</x:v>
      </x:c>
      <x:c r="C426" s="22" t="str">
        <x:v>SONDA DE ASPIRAÇÃO SISTEMA FECHADO 24H 14FRX60CM - GUANGZHOU AMK</x:v>
      </x:c>
      <x:c r="D426" s="22" t="str">
        <x:v>SONDA ASPIRACAO SISTEMA FECHADO 24H 14FRX60CM</x:v>
      </x:c>
      <x:c r="E426" s="22" t="str">
        <x:v>SONDA ASPIRACAO SISTEMA</x:v>
      </x:c>
      <x:c r="F426" s="22" t="str"/>
      <x:c r="G426" s="22" t="str"/>
      <x:c r="H426" s="22" t="str">
        <x:v>UN</x:v>
      </x:c>
      <x:c r="I426" s="22" t="str">
        <x:v>UNIDADE</x:v>
      </x:c>
      <x:c r="J426" s="22" t="str">
        <x:v>GUANGZHOU AMK</x:v>
      </x:c>
      <x:c r="K426" s="28" t="str">
        <x:f>"GTIN: 7898468476436"</x:f>
        <x:v>GTIN: 7898468476436</x:v>
      </x:c>
      <x:c r="L426" s="28" t="str">
        <x:f>"90183929"</x:f>
        <x:v>90183929</x:v>
      </x:c>
      <x:c r="M426" s="22" t="str">
        <x:v>UN</x:v>
      </x:c>
      <x:c r="N426" s="22" t="str">
        <x:v>UN</x:v>
      </x:c>
      <x:c r="O426" s="22" t="n">
        <x:v>1</x:v>
      </x:c>
      <x:c r="P426" s="28" t="str">
        <x:f>"735 | 736"</x:f>
        <x:v>735 | 736</x:v>
      </x:c>
      <x:c r="Q426" s="28" t="str">
        <x:f>"SAS0002 | SAS0001"</x:f>
        <x:v>SAS0002 | SAS0001</x:v>
      </x:c>
    </x:row>
    <x:row r="427">
      <x:c r="A427" s="22" t="n">
        <x:v>423</x:v>
      </x:c>
      <x:c r="B427" s="28" t="str">
        <x:f>"SPP0001"</x:f>
        <x:v>SPP0001</x:v>
      </x:c>
      <x:c r="C427" s="22" t="str">
        <x:v>SONDA DE PVC PARA ASPIRAÇÃO TRAQUEAL N04 - MEDSONDA</x:v>
      </x:c>
      <x:c r="D427" s="22" t="str">
        <x:v>SONDA PVC PARA ASPIRACAO TRAQUEAL N04 MEDSONDA</x:v>
      </x:c>
      <x:c r="E427" s="22" t="str">
        <x:v>SONDA PVC PARA</x:v>
      </x:c>
      <x:c r="F427" s="22" t="str"/>
      <x:c r="G427" s="22" t="str"/>
      <x:c r="H427" s="22" t="str">
        <x:v>UND</x:v>
      </x:c>
      <x:c r="I427" s="22" t="str">
        <x:v>UNIDADE</x:v>
      </x:c>
      <x:c r="J427" s="22" t="str">
        <x:v>MEDSONSA</x:v>
      </x:c>
      <x:c r="K427" s="28" t="str">
        <x:f>"GTIN: 7899780181763"</x:f>
        <x:v>GTIN: 7899780181763</x:v>
      </x:c>
      <x:c r="L427" s="28" t="str">
        <x:f>"90183929"</x:f>
        <x:v>90183929</x:v>
      </x:c>
      <x:c r="M427" s="22" t="str">
        <x:v>UND</x:v>
      </x:c>
      <x:c r="N427" s="22" t="str">
        <x:v>UND</x:v>
      </x:c>
      <x:c r="O427" s="22" t="n">
        <x:v>1</x:v>
      </x:c>
      <x:c r="P427" s="28" t="str">
        <x:f>"737"</x:f>
        <x:v>737</x:v>
      </x:c>
      <x:c r="Q427" s="28" t="str">
        <x:f>"SPP0001"</x:f>
        <x:v>SPP0001</x:v>
      </x:c>
    </x:row>
    <x:row r="428">
      <x:c r="A428" s="22" t="n">
        <x:v>424</x:v>
      </x:c>
      <x:c r="B428" s="28" t="str">
        <x:f>"SPP0002"</x:f>
        <x:v>SPP0002</x:v>
      </x:c>
      <x:c r="C428" s="22" t="str">
        <x:v>SONDA DE PVC PARA ASPIRAÇÃO TRAQUEAL N06 - MEDSONDA</x:v>
      </x:c>
      <x:c r="D428" s="22" t="str">
        <x:v>SONDA PVC PARA ASPIRACAO TRAQUEAL N06</x:v>
      </x:c>
      <x:c r="E428" s="22" t="str">
        <x:v>SONDA PVC PARA</x:v>
      </x:c>
      <x:c r="F428" s="22" t="str"/>
      <x:c r="G428" s="22" t="str"/>
      <x:c r="H428" s="22" t="str">
        <x:v>UND</x:v>
      </x:c>
      <x:c r="I428" s="22" t="str">
        <x:v>UNIDADE</x:v>
      </x:c>
      <x:c r="J428" s="22" t="str">
        <x:v>MEDSONDA</x:v>
      </x:c>
      <x:c r="K428" s="28" t="str">
        <x:f>"GTIN: 7899780181763"</x:f>
        <x:v>GTIN: 7899780181763</x:v>
      </x:c>
      <x:c r="L428" s="28" t="str">
        <x:f>"90183929"</x:f>
        <x:v>90183929</x:v>
      </x:c>
      <x:c r="M428" s="22" t="str">
        <x:v>UND</x:v>
      </x:c>
      <x:c r="N428" s="22" t="str">
        <x:v>UND</x:v>
      </x:c>
      <x:c r="O428" s="22" t="n">
        <x:v>1</x:v>
      </x:c>
      <x:c r="P428" s="28" t="str">
        <x:f>"738"</x:f>
        <x:v>738</x:v>
      </x:c>
      <x:c r="Q428" s="28" t="str">
        <x:f>"SPP0002"</x:f>
        <x:v>SPP0002</x:v>
      </x:c>
    </x:row>
    <x:row r="429">
      <x:c r="A429" s="22" t="n">
        <x:v>425</x:v>
      </x:c>
      <x:c r="B429" s="28" t="str">
        <x:f>"SPP0005"</x:f>
        <x:v>SPP0005</x:v>
      </x:c>
      <x:c r="C429" s="22" t="str">
        <x:v>SONDA DE PVC PARA ASPIRAÇÃO TRAQUEAL N08 - MEDSONDA</x:v>
      </x:c>
      <x:c r="D429" s="22" t="str">
        <x:v>SONDA PVC PARA ASPIRACAO TRAQUEAL N08</x:v>
      </x:c>
      <x:c r="E429" s="22" t="str">
        <x:v>SONDA PVC PARA</x:v>
      </x:c>
      <x:c r="F429" s="22" t="str"/>
      <x:c r="G429" s="22" t="str"/>
      <x:c r="H429" s="22" t="str">
        <x:v>UND</x:v>
      </x:c>
      <x:c r="I429" s="22" t="str">
        <x:v>UNIDADE</x:v>
      </x:c>
      <x:c r="J429" s="22" t="str">
        <x:v>MEDSONDA</x:v>
      </x:c>
      <x:c r="K429" s="28" t="str">
        <x:f>"GTIN: 7899780181763"</x:f>
        <x:v>GTIN: 7899780181763</x:v>
      </x:c>
      <x:c r="L429" s="28" t="str">
        <x:f>"90183929"</x:f>
        <x:v>90183929</x:v>
      </x:c>
      <x:c r="M429" s="22" t="str">
        <x:v>UND</x:v>
      </x:c>
      <x:c r="N429" s="22" t="str">
        <x:v>UND</x:v>
      </x:c>
      <x:c r="O429" s="22" t="n">
        <x:v>1</x:v>
      </x:c>
      <x:c r="P429" s="28" t="str">
        <x:f>"739"</x:f>
        <x:v>739</x:v>
      </x:c>
      <x:c r="Q429" s="28" t="str">
        <x:f>"SPP0005"</x:f>
        <x:v>SPP0005</x:v>
      </x:c>
    </x:row>
    <x:row r="430">
      <x:c r="A430" s="22" t="n">
        <x:v>426</x:v>
      </x:c>
      <x:c r="B430" s="28" t="str">
        <x:f>"SPP0003"</x:f>
        <x:v>SPP0003</x:v>
      </x:c>
      <x:c r="C430" s="22" t="str">
        <x:v>SONDA DE PVC PARA ASPIRAÇÃO TRAQUEAL N12 - BELA INDUS</x:v>
      </x:c>
      <x:c r="D430" s="22" t="str">
        <x:v>SONDA PVC PARA ASPIRACAO TRAQUEAL N12</x:v>
      </x:c>
      <x:c r="E430" s="22" t="str">
        <x:v>SONDA PVC PARA</x:v>
      </x:c>
      <x:c r="F430" s="22" t="str"/>
      <x:c r="G430" s="22" t="str"/>
      <x:c r="H430" s="22" t="str">
        <x:v>UND</x:v>
      </x:c>
      <x:c r="I430" s="22" t="str">
        <x:v>UNIDADE</x:v>
      </x:c>
      <x:c r="J430" s="22" t="str">
        <x:v>BELA INDUS</x:v>
      </x:c>
      <x:c r="K430" s="28" t="str"/>
      <x:c r="L430" s="28" t="str">
        <x:f>"90183929"</x:f>
        <x:v>90183929</x:v>
      </x:c>
      <x:c r="M430" s="22" t="str">
        <x:v>UND</x:v>
      </x:c>
      <x:c r="N430" s="22" t="str">
        <x:v>UND</x:v>
      </x:c>
      <x:c r="O430" s="22" t="n">
        <x:v>1</x:v>
      </x:c>
      <x:c r="P430" s="28" t="str">
        <x:f>"740"</x:f>
        <x:v>740</x:v>
      </x:c>
      <x:c r="Q430" s="28" t="str">
        <x:f>"SPP0003"</x:f>
        <x:v>SPP0003</x:v>
      </x:c>
    </x:row>
    <x:row r="431">
      <x:c r="A431" s="22" t="n">
        <x:v>427</x:v>
      </x:c>
      <x:c r="B431" s="28" t="str">
        <x:f>"SPP0004"</x:f>
        <x:v>SPP0004</x:v>
      </x:c>
      <x:c r="C431" s="22" t="str">
        <x:v>SONDA DE PVC PARA ASPIRAÇÃO TRAQUEAL N14 - COMPER HEALTHCARE</x:v>
      </x:c>
      <x:c r="D431" s="22" t="str">
        <x:v>SONDA PVC PARA ASPIRACAO TRAQUEAL N14</x:v>
      </x:c>
      <x:c r="E431" s="22" t="str">
        <x:v>SONDA PVC PARA</x:v>
      </x:c>
      <x:c r="F431" s="22" t="str"/>
      <x:c r="G431" s="22" t="str"/>
      <x:c r="H431" s="22" t="str">
        <x:v>UND</x:v>
      </x:c>
      <x:c r="I431" s="22" t="str">
        <x:v>UNIDADE</x:v>
      </x:c>
      <x:c r="J431" s="22" t="str">
        <x:v>COMPER HEALTHCARE</x:v>
      </x:c>
      <x:c r="K431" s="28" t="str">
        <x:f>"GTIN: 7899780181763"</x:f>
        <x:v>GTIN: 7899780181763</x:v>
      </x:c>
      <x:c r="L431" s="28" t="str">
        <x:f>"90183929"</x:f>
        <x:v>90183929</x:v>
      </x:c>
      <x:c r="M431" s="22" t="str">
        <x:v>UND</x:v>
      </x:c>
      <x:c r="N431" s="22" t="str">
        <x:v>UND</x:v>
      </x:c>
      <x:c r="O431" s="22" t="n">
        <x:v>1</x:v>
      </x:c>
      <x:c r="P431" s="28" t="str">
        <x:f>"741"</x:f>
        <x:v>741</x:v>
      </x:c>
      <x:c r="Q431" s="28" t="str">
        <x:f>"SPP0004"</x:f>
        <x:v>SPP0004</x:v>
      </x:c>
    </x:row>
    <x:row r="432">
      <x:c r="A432" s="22" t="n">
        <x:v>428</x:v>
      </x:c>
      <x:c r="B432" s="28" t="str">
        <x:f>"SE50002"</x:f>
        <x:v>SE50002</x:v>
      </x:c>
      <x:c r="C432" s="22" t="str">
        <x:v>SONDA ENDOTRAQUEAL 5.0 ARAMADA COM BALÃO - CX/10 - WELLEAD</x:v>
      </x:c>
      <x:c r="D432" s="22" t="str">
        <x:v>SONDA ENDOTRAQUEAL ARAMADA COM BALAO</x:v>
      </x:c>
      <x:c r="E432" s="22" t="str">
        <x:v>SONDA ENDOTRAQUEAL ARAMADA</x:v>
      </x:c>
      <x:c r="F432" s="22" t="str"/>
      <x:c r="G432" s="22" t="str"/>
      <x:c r="H432" s="22" t="str">
        <x:v>CX/10 | CX | CONTEUDO10 | FATOR10</x:v>
      </x:c>
      <x:c r="I432" s="22" t="str">
        <x:v>CAIXA</x:v>
      </x:c>
      <x:c r="J432" s="22" t="str">
        <x:v>WELLEAD</x:v>
      </x:c>
      <x:c r="K432" s="28" t="str">
        <x:f>"GTIN: 7898157722509"</x:f>
        <x:v>GTIN: 7898157722509</x:v>
      </x:c>
      <x:c r="L432" s="28" t="str">
        <x:f>"90183921"</x:f>
        <x:v>90183921</x:v>
      </x:c>
      <x:c r="M432" s="22" t="str">
        <x:v>UN</x:v>
      </x:c>
      <x:c r="N432" s="22" t="str">
        <x:v>CX</x:v>
      </x:c>
      <x:c r="O432" s="22" t="n">
        <x:v>10</x:v>
      </x:c>
      <x:c r="P432" s="28" t="str">
        <x:f>"742"</x:f>
        <x:v>742</x:v>
      </x:c>
      <x:c r="Q432" s="28" t="str">
        <x:f>"SE50002"</x:f>
        <x:v>SE50002</x:v>
      </x:c>
    </x:row>
    <x:row r="433">
      <x:c r="A433" s="22" t="n">
        <x:v>429</x:v>
      </x:c>
      <x:c r="B433" s="28" t="str">
        <x:f>"SE50003"</x:f>
        <x:v>SE50003</x:v>
      </x:c>
      <x:c r="C433" s="22" t="str">
        <x:v>SONDA ENDOTRAQUEAL 5.5 ARAMADA COM BALÃO - CX/10 - WELLEAD</x:v>
      </x:c>
      <x:c r="D433" s="22" t="str">
        <x:v>SONDA ENDOTRAQUEAL ARAMADA COM BALAO</x:v>
      </x:c>
      <x:c r="E433" s="22" t="str">
        <x:v>SONDA ENDOTRAQUEAL ARAMADA</x:v>
      </x:c>
      <x:c r="F433" s="22" t="str"/>
      <x:c r="G433" s="22" t="str"/>
      <x:c r="H433" s="22" t="str">
        <x:v>CX/10 | CX | CONTEUDO10 | FATOR10</x:v>
      </x:c>
      <x:c r="I433" s="22" t="str">
        <x:v>CAIXA</x:v>
      </x:c>
      <x:c r="J433" s="22" t="str">
        <x:v>WELLEAD</x:v>
      </x:c>
      <x:c r="K433" s="28" t="str">
        <x:f>"GTIN: 7899780169686"</x:f>
        <x:v>GTIN: 7899780169686</x:v>
      </x:c>
      <x:c r="L433" s="28" t="str">
        <x:f>"90183921"</x:f>
        <x:v>90183921</x:v>
      </x:c>
      <x:c r="M433" s="22" t="str">
        <x:v>UN</x:v>
      </x:c>
      <x:c r="N433" s="22" t="str">
        <x:v>CX</x:v>
      </x:c>
      <x:c r="O433" s="22" t="n">
        <x:v>10</x:v>
      </x:c>
      <x:c r="P433" s="28" t="str">
        <x:f>"743"</x:f>
        <x:v>743</x:v>
      </x:c>
      <x:c r="Q433" s="28" t="str">
        <x:f>"SE50003"</x:f>
        <x:v>SE50003</x:v>
      </x:c>
    </x:row>
    <x:row r="434">
      <x:c r="A434" s="22" t="n">
        <x:v>430</x:v>
      </x:c>
      <x:c r="B434" s="28" t="str">
        <x:f>"S100001"</x:f>
        <x:v>S100001</x:v>
      </x:c>
      <x:c r="C434" s="22" t="str">
        <x:v>STIMUPLEX A 100 0.80X100MM 21GX4 - BBRAUM</x:v>
      </x:c>
      <x:c r="D434" s="22" t="str">
        <x:v>STIMUPLEX</x:v>
      </x:c>
      <x:c r="E434" s="22" t="str">
        <x:v>STIMUPLEX</x:v>
      </x:c>
      <x:c r="F434" s="22" t="str"/>
      <x:c r="G434" s="22" t="str">
        <x:v>0.80X100MM | 21GX4</x:v>
      </x:c>
      <x:c r="H434" s="22" t="str">
        <x:v>UN</x:v>
      </x:c>
      <x:c r="I434" s="22" t="str">
        <x:v>UNIDADE</x:v>
      </x:c>
      <x:c r="J434" s="22" t="str">
        <x:v>BBRAUM</x:v>
      </x:c>
      <x:c r="K434" s="28" t="str"/>
      <x:c r="L434" s="28" t="str">
        <x:f>"90183219"</x:f>
        <x:v>90183219</x:v>
      </x:c>
      <x:c r="M434" s="22" t="str">
        <x:v>UN</x:v>
      </x:c>
      <x:c r="N434" s="22" t="str">
        <x:v>UN</x:v>
      </x:c>
      <x:c r="O434" s="22" t="n">
        <x:v>1</x:v>
      </x:c>
      <x:c r="P434" s="28" t="str">
        <x:f>"744"</x:f>
        <x:v>744</x:v>
      </x:c>
      <x:c r="Q434" s="28" t="str">
        <x:f>"S100001"</x:f>
        <x:v>S100001</x:v>
      </x:c>
    </x:row>
    <x:row r="435">
      <x:c r="A435" s="22" t="n">
        <x:v>431</x:v>
      </x:c>
      <x:c r="B435" s="28" t="str">
        <x:f>"S100002"</x:f>
        <x:v>S100002</x:v>
      </x:c>
      <x:c r="C435" s="22" t="str">
        <x:v>STIMUPLEX A 50MM 0.70X50MM 22GX2 - BBRAUM</x:v>
      </x:c>
      <x:c r="D435" s="22" t="str">
        <x:v>STIMUPLEX</x:v>
      </x:c>
      <x:c r="E435" s="22" t="str">
        <x:v>STIMUPLEX</x:v>
      </x:c>
      <x:c r="F435" s="22" t="str"/>
      <x:c r="G435" s="22" t="str">
        <x:v>0.70X50MM | 22GX2</x:v>
      </x:c>
      <x:c r="H435" s="22" t="str">
        <x:v>UN</x:v>
      </x:c>
      <x:c r="I435" s="22" t="str">
        <x:v>UNIDADE</x:v>
      </x:c>
      <x:c r="J435" s="22" t="str">
        <x:v>BBRAUM</x:v>
      </x:c>
      <x:c r="K435" s="28" t="str">
        <x:f>"GTIN: 4039239106093"</x:f>
        <x:v>GTIN: 4039239106093</x:v>
      </x:c>
      <x:c r="L435" s="28" t="str">
        <x:f>"90183219"</x:f>
        <x:v>90183219</x:v>
      </x:c>
      <x:c r="M435" s="22" t="str">
        <x:v>UN</x:v>
      </x:c>
      <x:c r="N435" s="22" t="str">
        <x:v>UN</x:v>
      </x:c>
      <x:c r="O435" s="22" t="n">
        <x:v>1</x:v>
      </x:c>
      <x:c r="P435" s="28" t="str">
        <x:f>"745"</x:f>
        <x:v>745</x:v>
      </x:c>
      <x:c r="Q435" s="28" t="str">
        <x:f>"S100002"</x:f>
        <x:v>S100002</x:v>
      </x:c>
    </x:row>
    <x:row r="436">
      <x:c r="A436" s="22" t="n">
        <x:v>432</x:v>
      </x:c>
      <x:c r="B436" s="28" t="str">
        <x:f>"SB10005"</x:f>
        <x:v>SB10005</x:v>
      </x:c>
      <x:c r="C436" s="22" t="str">
        <x:v>SUGAMADEX BRIDION 100MG/2ML - CX/10 - MSD</x:v>
      </x:c>
      <x:c r="D436" s="22" t="str">
        <x:v>SUGAMADEX BRIDION</x:v>
      </x:c>
      <x:c r="E436" s="22" t="str">
        <x:v>SUGAMADEX BRIDION</x:v>
      </x:c>
      <x:c r="F436" s="22" t="str">
        <x:v>100MG/2ML | 100MG | 2ML</x:v>
      </x:c>
      <x:c r="G436" s="22" t="str"/>
      <x:c r="H436" s="22" t="str">
        <x:v>CX/10 | CX | CONTEUDO10 | FATOR10</x:v>
      </x:c>
      <x:c r="I436" s="22" t="str">
        <x:v>CAIXA</x:v>
      </x:c>
      <x:c r="J436" s="22" t="str">
        <x:v>MSD</x:v>
      </x:c>
      <x:c r="K436" s="28" t="str"/>
      <x:c r="L436" s="28" t="str">
        <x:f>"30049059"</x:f>
        <x:v>30049059</x:v>
      </x:c>
      <x:c r="M436" s="22" t="str">
        <x:v>UN</x:v>
      </x:c>
      <x:c r="N436" s="22" t="str">
        <x:v>CX</x:v>
      </x:c>
      <x:c r="O436" s="22" t="n">
        <x:v>10</x:v>
      </x:c>
      <x:c r="P436" s="28" t="str">
        <x:f>"746 | 747"</x:f>
        <x:v>746 | 747</x:v>
      </x:c>
      <x:c r="Q436" s="28" t="str">
        <x:f>"SB10005 | SB10004"</x:f>
        <x:v>SB10005 | SB10004</x:v>
      </x:c>
    </x:row>
    <x:row r="437">
      <x:c r="A437" s="22" t="n">
        <x:v>433</x:v>
      </x:c>
      <x:c r="B437" s="28" t="str">
        <x:f>"SB10024"</x:f>
        <x:v>SB10024</x:v>
      </x:c>
      <x:c r="C437" s="22" t="str">
        <x:v>SUGAMADEX BRIDION 100MG/2ML - CX/10 - UNIAO QUIMICA</x:v>
      </x:c>
      <x:c r="D437" s="22" t="str">
        <x:v>SUGAMADEX BRIDION</x:v>
      </x:c>
      <x:c r="E437" s="22" t="str">
        <x:v>SUGAMADEX BRIDION</x:v>
      </x:c>
      <x:c r="F437" s="22" t="str">
        <x:v>100MG/2ML | 100MG | 2ML</x:v>
      </x:c>
      <x:c r="G437" s="22" t="str"/>
      <x:c r="H437" s="22" t="str">
        <x:v>CX/10 | CX | CONTEUDO10 | FATOR10</x:v>
      </x:c>
      <x:c r="I437" s="22" t="str">
        <x:v>CAIXA</x:v>
      </x:c>
      <x:c r="J437" s="22" t="str">
        <x:v>UNIAO QUIMICA</x:v>
      </x:c>
      <x:c r="K437" s="28" t="str"/>
      <x:c r="L437" s="28" t="str">
        <x:f>"30049059"</x:f>
        <x:v>30049059</x:v>
      </x:c>
      <x:c r="M437" s="22" t="str">
        <x:v>UN</x:v>
      </x:c>
      <x:c r="N437" s="22" t="str">
        <x:v>CX</x:v>
      </x:c>
      <x:c r="O437" s="22" t="n">
        <x:v>10</x:v>
      </x:c>
      <x:c r="P437" s="28" t="str">
        <x:f>"748"</x:f>
        <x:v>748</x:v>
      </x:c>
      <x:c r="Q437" s="28" t="str">
        <x:f>"SB10024"</x:f>
        <x:v>SB10024</x:v>
      </x:c>
    </x:row>
    <x:row r="438">
      <x:c r="A438" s="22" t="n">
        <x:v>434</x:v>
      </x:c>
      <x:c r="B438" s="28" t="str">
        <x:f>"SB10017"</x:f>
        <x:v>SB10017</x:v>
      </x:c>
      <x:c r="C438" s="22" t="str">
        <x:v>SUGAMADEX BRIDION 100MG/2ML - DR REDDY</x:v>
      </x:c>
      <x:c r="D438" s="22" t="str">
        <x:v>SUGAMADEX BRIDION</x:v>
      </x:c>
      <x:c r="E438" s="22" t="str">
        <x:v>SUGAMADEX BRIDION</x:v>
      </x:c>
      <x:c r="F438" s="22" t="str">
        <x:v>100MG/2ML | 100MG | 2ML</x:v>
      </x:c>
      <x:c r="G438" s="22" t="str"/>
      <x:c r="H438" s="22" t="str">
        <x:v>UND</x:v>
      </x:c>
      <x:c r="I438" s="22" t="str">
        <x:v>UNIDADE</x:v>
      </x:c>
      <x:c r="J438" s="22" t="str">
        <x:v>DR REDDY</x:v>
      </x:c>
      <x:c r="K438" s="28" t="str"/>
      <x:c r="L438" s="28" t="str">
        <x:f>"30049059"</x:f>
        <x:v>30049059</x:v>
      </x:c>
      <x:c r="M438" s="22" t="str">
        <x:v>UND</x:v>
      </x:c>
      <x:c r="N438" s="22" t="str">
        <x:v>UND</x:v>
      </x:c>
      <x:c r="O438" s="22" t="n">
        <x:v>1</x:v>
      </x:c>
      <x:c r="P438" s="28" t="str">
        <x:f>"751"</x:f>
        <x:v>751</x:v>
      </x:c>
      <x:c r="Q438" s="28" t="str">
        <x:f>"SB10017"</x:f>
        <x:v>SB10017</x:v>
      </x:c>
    </x:row>
    <x:row r="439">
      <x:c r="A439" s="22" t="n">
        <x:v>435</x:v>
      </x:c>
      <x:c r="B439" s="28" t="str">
        <x:f>"SB10002"</x:f>
        <x:v>SB10002</x:v>
      </x:c>
      <x:c r="C439" s="22" t="str">
        <x:v>SUGAMADEX BRIDION 100MG/2ML - DR REDDY - CX/10</x:v>
      </x:c>
      <x:c r="D439" s="22" t="str">
        <x:v>SUGAMADEX BRIDION</x:v>
      </x:c>
      <x:c r="E439" s="22" t="str">
        <x:v>SUGAMADEX BRIDION</x:v>
      </x:c>
      <x:c r="F439" s="22" t="str">
        <x:v>100MG/2ML | 100MG | 2ML</x:v>
      </x:c>
      <x:c r="G439" s="22" t="str"/>
      <x:c r="H439" s="22" t="str">
        <x:v>CX/10 | CX | CONTEUDO10 | FATOR10</x:v>
      </x:c>
      <x:c r="I439" s="22" t="str">
        <x:v>CAIXA</x:v>
      </x:c>
      <x:c r="J439" s="22" t="str">
        <x:v>DR REDDY</x:v>
      </x:c>
      <x:c r="K439" s="28" t="str"/>
      <x:c r="L439" s="28" t="str">
        <x:f>"30049059"</x:f>
        <x:v>30049059</x:v>
      </x:c>
      <x:c r="M439" s="22" t="str">
        <x:v>UN</x:v>
      </x:c>
      <x:c r="N439" s="22" t="str">
        <x:v>CX</x:v>
      </x:c>
      <x:c r="O439" s="22" t="n">
        <x:v>10</x:v>
      </x:c>
      <x:c r="P439" s="28" t="str">
        <x:f>"749 | 750"</x:f>
        <x:v>749 | 750</x:v>
      </x:c>
      <x:c r="Q439" s="28" t="str">
        <x:f>"SB10002 | SB10025"</x:f>
        <x:v>SB10002 | SB10025</x:v>
      </x:c>
    </x:row>
    <x:row r="440">
      <x:c r="A440" s="22" t="n">
        <x:v>436</x:v>
      </x:c>
      <x:c r="B440" s="28" t="str">
        <x:f>"SB10003"</x:f>
        <x:v>SB10003</x:v>
      </x:c>
      <x:c r="C440" s="22" t="str">
        <x:v>SUGAMADEX BRIDION 100MG/2ML CX/10 - BLAU</x:v>
      </x:c>
      <x:c r="D440" s="22" t="str">
        <x:v>SUGAMADEX BRIDION</x:v>
      </x:c>
      <x:c r="E440" s="22" t="str">
        <x:v>SUGAMADEX BRIDION</x:v>
      </x:c>
      <x:c r="F440" s="22" t="str">
        <x:v>100MG/2ML | 100MG | 2ML</x:v>
      </x:c>
      <x:c r="G440" s="22" t="str"/>
      <x:c r="H440" s="22" t="str">
        <x:v>CX/10 | UND</x:v>
      </x:c>
      <x:c r="I440" s="22" t="str">
        <x:v>UNIDADE</x:v>
      </x:c>
      <x:c r="J440" s="22" t="str">
        <x:v>BLAU</x:v>
      </x:c>
      <x:c r="K440" s="28" t="str">
        <x:f>"GTIN: 7896014689170"</x:f>
        <x:v>GTIN: 7896014689170</x:v>
      </x:c>
      <x:c r="L440" s="28" t="str">
        <x:f>"30049059"</x:f>
        <x:v>30049059</x:v>
      </x:c>
      <x:c r="M440" s="22" t="str">
        <x:v>UND</x:v>
      </x:c>
      <x:c r="N440" s="22" t="str">
        <x:v>UND</x:v>
      </x:c>
      <x:c r="O440" s="22" t="n">
        <x:v>1</x:v>
      </x:c>
      <x:c r="P440" s="28" t="str">
        <x:f>"752 | 753"</x:f>
        <x:v>752 | 753</x:v>
      </x:c>
      <x:c r="Q440" s="28" t="str">
        <x:f>"SB10003 | SB10001"</x:f>
        <x:v>SB10003 | SB10001</x:v>
      </x:c>
    </x:row>
    <x:row r="441">
      <x:c r="A441" s="22" t="n">
        <x:v>437</x:v>
      </x:c>
      <x:c r="B441" s="28" t="str">
        <x:f>"S240001"</x:f>
        <x:v>S240001</x:v>
      </x:c>
      <x:c r="C441" s="22" t="str">
        <x:v>SULFAMETOXAZOL 200MG/5ML+TRIMETOPRINA 40MG/5ML 100ML SUSPENSÃO ORAL - CX/1 - EMS</x:v>
      </x:c>
      <x:c r="D441" s="22" t="str">
        <x:v>SULFAMETOXAZOL +TRIMETOPRINA SUSPENSAO ORAL</x:v>
      </x:c>
      <x:c r="E441" s="22" t="str">
        <x:v>SULFAMETOXAZOL TRIMETOPRINA SUSPENSAO</x:v>
      </x:c>
      <x:c r="F441" s="22" t="str">
        <x:v>200MG/5ML | 40MG/5ML | 200MG | 40MG | 5ML | 100ML</x:v>
      </x:c>
      <x:c r="G441" s="22" t="str"/>
      <x:c r="H441" s="22" t="str">
        <x:v>CX/1 | CX | CONTEUDO1</x:v>
      </x:c>
      <x:c r="I441" s="22" t="str">
        <x:v>CAIXA</x:v>
      </x:c>
      <x:c r="J441" s="22" t="str">
        <x:v>EMS</x:v>
      </x:c>
      <x:c r="K441" s="28" t="str">
        <x:f>"GTIN: 7896004703732"</x:f>
        <x:v>GTIN: 7896004703732</x:v>
      </x:c>
      <x:c r="L441" s="28" t="str">
        <x:f>"30049072"</x:f>
        <x:v>30049072</x:v>
      </x:c>
      <x:c r="M441" s="22" t="str">
        <x:v>UN</x:v>
      </x:c>
      <x:c r="N441" s="22" t="str">
        <x:v>CX</x:v>
      </x:c>
      <x:c r="O441" s="22" t="n">
        <x:v>1</x:v>
      </x:c>
      <x:c r="P441" s="28" t="str">
        <x:f>"754"</x:f>
        <x:v>754</x:v>
      </x:c>
      <x:c r="Q441" s="28" t="str">
        <x:f>"S240001"</x:f>
        <x:v>S240001</x:v>
      </x:c>
    </x:row>
    <x:row r="442">
      <x:c r="A442" s="22" t="n">
        <x:v>438</x:v>
      </x:c>
      <x:c r="B442" s="28" t="str">
        <x:f>"SA10005"</x:f>
        <x:v>SA10005</x:v>
      </x:c>
      <x:c r="C442" s="22" t="str">
        <x:v>SULFATO DE ATROPINA 1/4MG 1ML AP CX/100 - FARMACE</x:v>
      </x:c>
      <x:c r="D442" s="22" t="str">
        <x:v>SULFATO ATROPINA</x:v>
      </x:c>
      <x:c r="E442" s="22" t="str">
        <x:v>SULFATO ATROPINA</x:v>
      </x:c>
      <x:c r="F442" s="22" t="str">
        <x:v>4MG | 1ML</x:v>
      </x:c>
      <x:c r="G442" s="22" t="str"/>
      <x:c r="H442" s="22" t="str">
        <x:v>AP | CX/100 | UN</x:v>
      </x:c>
      <x:c r="I442" s="22" t="str">
        <x:v>UNIDADE</x:v>
      </x:c>
      <x:c r="J442" s="22" t="str">
        <x:v>FARMACE</x:v>
      </x:c>
      <x:c r="K442" s="28" t="str">
        <x:f>"GTIN: 7898361700300"</x:f>
        <x:v>GTIN: 7898361700300</x:v>
      </x:c>
      <x:c r="L442" s="28" t="str">
        <x:f>"30044990"</x:f>
        <x:v>30044990</x:v>
      </x:c>
      <x:c r="M442" s="22" t="str">
        <x:v>UN</x:v>
      </x:c>
      <x:c r="N442" s="22" t="str">
        <x:v>UN</x:v>
      </x:c>
      <x:c r="O442" s="22" t="n">
        <x:v>1</x:v>
      </x:c>
      <x:c r="P442" s="28" t="str">
        <x:f>"755 | 756 | 757 | 758 | 759 | 760"</x:f>
        <x:v>755 | 756 | 757 | 758 | 759 | 760</x:v>
      </x:c>
      <x:c r="Q442" s="28" t="str">
        <x:f>"SA10006 | SA10001 | SA10002 | SA10005 | SA10003 | SA10004"</x:f>
        <x:v>SA10006 | SA10001 | SA10002 | SA10005 | SA10003 | SA10004</x:v>
      </x:c>
    </x:row>
    <x:row r="443">
      <x:c r="A443" s="22" t="n">
        <x:v>439</x:v>
      </x:c>
      <x:c r="B443" s="28" t="str">
        <x:f>"SE50001"</x:f>
        <x:v>SE50001</x:v>
      </x:c>
      <x:c r="C443" s="22" t="str">
        <x:v>SULFATO DE EFEDRINA 50MG/ML 1ML - CX/25 - HIPOLABOR</x:v>
      </x:c>
      <x:c r="D443" s="22" t="str">
        <x:v>SULFATO EFEDRINA</x:v>
      </x:c>
      <x:c r="E443" s="22" t="str">
        <x:v>SULFATO EFEDRINA</x:v>
      </x:c>
      <x:c r="F443" s="22" t="str">
        <x:v>50MG/ML | 50MG | 1ML</x:v>
      </x:c>
      <x:c r="G443" s="22" t="str"/>
      <x:c r="H443" s="22" t="str">
        <x:v>CX/25 | CX | CONTEUDO25 | FATOR25</x:v>
      </x:c>
      <x:c r="I443" s="22" t="str">
        <x:v>CAIXA</x:v>
      </x:c>
      <x:c r="J443" s="22" t="str">
        <x:v>HIPOLABOR</x:v>
      </x:c>
      <x:c r="K443" s="28" t="str">
        <x:f>"GTIN: 7896006238690"</x:f>
        <x:v>GTIN: 7896006238690</x:v>
      </x:c>
      <x:c r="L443" s="28" t="str">
        <x:f>"30044100"</x:f>
        <x:v>30044100</x:v>
      </x:c>
      <x:c r="M443" s="22" t="str">
        <x:v>UN</x:v>
      </x:c>
      <x:c r="N443" s="22" t="str">
        <x:v>CX</x:v>
      </x:c>
      <x:c r="O443" s="22" t="n">
        <x:v>25</x:v>
      </x:c>
      <x:c r="P443" s="28" t="str">
        <x:f>"761"</x:f>
        <x:v>761</x:v>
      </x:c>
      <x:c r="Q443" s="28" t="str">
        <x:f>"SE50001"</x:f>
        <x:v>SE50001</x:v>
      </x:c>
    </x:row>
    <x:row r="444">
      <x:c r="A444" s="22" t="n">
        <x:v>440</x:v>
      </x:c>
      <x:c r="B444" s="28" t="str">
        <x:f>"SE50005"</x:f>
        <x:v>SE50005</x:v>
      </x:c>
      <x:c r="C444" s="22" t="str">
        <x:v>SULFATO DE EFEDRINA 50MG/ML 1ML - CX/25 - UNIÃO QUIMICA</x:v>
      </x:c>
      <x:c r="D444" s="22" t="str">
        <x:v>SULFATO EFEDRINA</x:v>
      </x:c>
      <x:c r="E444" s="22" t="str">
        <x:v>SULFATO EFEDRINA</x:v>
      </x:c>
      <x:c r="F444" s="22" t="str">
        <x:v>50MG/ML | 50MG | 1ML</x:v>
      </x:c>
      <x:c r="G444" s="22" t="str"/>
      <x:c r="H444" s="22" t="str">
        <x:v>CX/25 | CX | CONTEUDO25 | FATOR25</x:v>
      </x:c>
      <x:c r="I444" s="22" t="str">
        <x:v>CAIXA</x:v>
      </x:c>
      <x:c r="J444" s="22" t="str">
        <x:v>UNIÃO QUIMICA</x:v>
      </x:c>
      <x:c r="K444" s="28" t="str">
        <x:f>"GTIN: 7896006238690"</x:f>
        <x:v>GTIN: 7896006238690</x:v>
      </x:c>
      <x:c r="L444" s="28" t="str">
        <x:f>"30044100"</x:f>
        <x:v>30044100</x:v>
      </x:c>
      <x:c r="M444" s="22" t="str">
        <x:v>UN</x:v>
      </x:c>
      <x:c r="N444" s="22" t="str">
        <x:v>CX</x:v>
      </x:c>
      <x:c r="O444" s="22" t="n">
        <x:v>25</x:v>
      </x:c>
      <x:c r="P444" s="28" t="str">
        <x:f>"762 | 763 | 764 | 765"</x:f>
        <x:v>762 | 763 | 764 | 765</x:v>
      </x:c>
      <x:c r="Q444" s="28" t="str">
        <x:f>"CE50007 | SE50004 | SE50005 | SE50006"</x:f>
        <x:v>CE50007 | SE50004 | SE50005 | SE50006</x:v>
      </x:c>
    </x:row>
    <x:row r="445">
      <x:c r="A445" s="22" t="n">
        <x:v>441</x:v>
      </x:c>
      <x:c r="B445" s="28" t="str">
        <x:f>"SG40001"</x:f>
        <x:v>SG40001</x:v>
      </x:c>
      <x:c r="C445" s="22" t="str">
        <x:v>SULFATO DE GENTAMICINA 40MG/ML 2ML AP CX/100 - HYPOFARMA</x:v>
      </x:c>
      <x:c r="D445" s="22" t="str">
        <x:v>SULFATO GENTAMICINA</x:v>
      </x:c>
      <x:c r="E445" s="22" t="str">
        <x:v>SULFATO GENTAMICINA</x:v>
      </x:c>
      <x:c r="F445" s="22" t="str">
        <x:v>40MG/ML | 40MG | 2ML</x:v>
      </x:c>
      <x:c r="G445" s="22" t="str"/>
      <x:c r="H445" s="22" t="str">
        <x:v>AP | CX/100 | UN</x:v>
      </x:c>
      <x:c r="I445" s="22" t="str">
        <x:v>UNIDADE</x:v>
      </x:c>
      <x:c r="J445" s="22" t="str">
        <x:v>HYPOFARMA</x:v>
      </x:c>
      <x:c r="K445" s="28" t="str">
        <x:f>"GTIN: 7896707242866"</x:f>
        <x:v>GTIN: 7896707242866</x:v>
      </x:c>
      <x:c r="L445" s="28" t="str">
        <x:f>"30042061"</x:f>
        <x:v>30042061</x:v>
      </x:c>
      <x:c r="M445" s="22" t="str">
        <x:v>UN</x:v>
      </x:c>
      <x:c r="N445" s="22" t="str">
        <x:v>UN</x:v>
      </x:c>
      <x:c r="O445" s="22" t="n">
        <x:v>1</x:v>
      </x:c>
      <x:c r="P445" s="28" t="str">
        <x:f>"766"</x:f>
        <x:v>766</x:v>
      </x:c>
      <x:c r="Q445" s="28" t="str">
        <x:f>"SG40001"</x:f>
        <x:v>SG40001</x:v>
      </x:c>
    </x:row>
    <x:row r="446">
      <x:c r="A446" s="22" t="n">
        <x:v>442</x:v>
      </x:c>
      <x:c r="B446" s="28" t="str">
        <x:f>"SM10003"</x:f>
        <x:v>SM10003</x:v>
      </x:c>
      <x:c r="C446" s="22" t="str">
        <x:v>SULFATO DE MAGNÉSIO 10% 10ML AP CX/200 - SAMTEC</x:v>
      </x:c>
      <x:c r="D446" s="22" t="str">
        <x:v>SULFATO MAGNESIO %</x:v>
      </x:c>
      <x:c r="E446" s="22" t="str">
        <x:v>SULFATO MAGNESIO</x:v>
      </x:c>
      <x:c r="F446" s="22" t="str">
        <x:v>10ML</x:v>
      </x:c>
      <x:c r="G446" s="22" t="str"/>
      <x:c r="H446" s="22" t="str">
        <x:v>AP | CX/200 | UN</x:v>
      </x:c>
      <x:c r="I446" s="22" t="str">
        <x:v>UNIDADE</x:v>
      </x:c>
      <x:c r="J446" s="22" t="str">
        <x:v>SAMTEC</x:v>
      </x:c>
      <x:c r="K446" s="28" t="str"/>
      <x:c r="L446" s="28" t="str">
        <x:f>"30049099"</x:f>
        <x:v>30049099</x:v>
      </x:c>
      <x:c r="M446" s="22" t="str">
        <x:v>UN</x:v>
      </x:c>
      <x:c r="N446" s="22" t="str">
        <x:v>UN</x:v>
      </x:c>
      <x:c r="O446" s="22" t="n">
        <x:v>1</x:v>
      </x:c>
      <x:c r="P446" s="28" t="str">
        <x:f>"767 | 768 | 769"</x:f>
        <x:v>767 | 768 | 769</x:v>
      </x:c>
      <x:c r="Q446" s="28" t="str">
        <x:f>"SM10003 | SM10001 | SM10002"</x:f>
        <x:v>SM10003 | SM10001 | SM10002</x:v>
      </x:c>
    </x:row>
    <x:row r="447">
      <x:c r="A447" s="22" t="n">
        <x:v>443</x:v>
      </x:c>
      <x:c r="B447" s="28" t="str">
        <x:f>"SN+0004"</x:f>
        <x:v>SN+0004</x:v>
      </x:c>
      <x:c r="C447" s="22" t="str">
        <x:v>SULFATO DE NEOMICINA + BACITRACINA ZINCICA 15G - BELFAR</x:v>
      </x:c>
      <x:c r="D447" s="22" t="str">
        <x:v>SULFATO NEOMICINA + BACITRACINA ZINCICA</x:v>
      </x:c>
      <x:c r="E447" s="22" t="str">
        <x:v>SULFATO NEOMICINA BACITRACINA</x:v>
      </x:c>
      <x:c r="F447" s="22" t="str">
        <x:v>15G</x:v>
      </x:c>
      <x:c r="G447" s="22" t="str">
        <x:v>15G</x:v>
      </x:c>
      <x:c r="H447" s="22" t="str">
        <x:v>UND</x:v>
      </x:c>
      <x:c r="I447" s="22" t="str">
        <x:v>UNIDADE</x:v>
      </x:c>
      <x:c r="J447" s="22" t="str">
        <x:v>BELFAR</x:v>
      </x:c>
      <x:c r="K447" s="28" t="str">
        <x:f>"GTIN: 789620009142"</x:f>
        <x:v>GTIN: 789620009142</x:v>
      </x:c>
      <x:c r="L447" s="28" t="str">
        <x:f>"30042069"</x:f>
        <x:v>30042069</x:v>
      </x:c>
      <x:c r="M447" s="22" t="str">
        <x:v>UND</x:v>
      </x:c>
      <x:c r="N447" s="22" t="str">
        <x:v>UND</x:v>
      </x:c>
      <x:c r="O447" s="22" t="n">
        <x:v>1</x:v>
      </x:c>
      <x:c r="P447" s="28" t="str">
        <x:f>"770"</x:f>
        <x:v>770</x:v>
      </x:c>
      <x:c r="Q447" s="28" t="str">
        <x:f>"SN+0004"</x:f>
        <x:v>SN+0004</x:v>
      </x:c>
    </x:row>
    <x:row r="448">
      <x:c r="A448" s="22" t="n">
        <x:v>444</x:v>
      </x:c>
      <x:c r="B448" s="28" t="str">
        <x:f>"SN+0003"</x:f>
        <x:v>SN+0003</x:v>
      </x:c>
      <x:c r="C448" s="22" t="str">
        <x:v>SULFATO DE NEOMICINA + BACITRACINA ZINCICA 15G - EMS</x:v>
      </x:c>
      <x:c r="D448" s="22" t="str">
        <x:v>SULFATO NEOMICINA + BACITRACINA ZINCICA</x:v>
      </x:c>
      <x:c r="E448" s="22" t="str">
        <x:v>SULFATO NEOMICINA BACITRACINA</x:v>
      </x:c>
      <x:c r="F448" s="22" t="str">
        <x:v>15G</x:v>
      </x:c>
      <x:c r="G448" s="22" t="str">
        <x:v>15G</x:v>
      </x:c>
      <x:c r="H448" s="22" t="str">
        <x:v>UND</x:v>
      </x:c>
      <x:c r="I448" s="22" t="str">
        <x:v>UNIDADE</x:v>
      </x:c>
      <x:c r="J448" s="22" t="str">
        <x:v>EMS</x:v>
      </x:c>
      <x:c r="K448" s="28" t="str">
        <x:f>"GTIN: 7896004715902"</x:f>
        <x:v>GTIN: 7896004715902</x:v>
      </x:c>
      <x:c r="L448" s="28" t="str">
        <x:f>"30042069"</x:f>
        <x:v>30042069</x:v>
      </x:c>
      <x:c r="M448" s="22" t="str">
        <x:v>UND</x:v>
      </x:c>
      <x:c r="N448" s="22" t="str">
        <x:v>UND</x:v>
      </x:c>
      <x:c r="O448" s="22" t="n">
        <x:v>1</x:v>
      </x:c>
      <x:c r="P448" s="28" t="str">
        <x:f>"771 | 772 | 773"</x:f>
        <x:v>771 | 772 | 773</x:v>
      </x:c>
      <x:c r="Q448" s="28" t="str">
        <x:f>"SN+0003 | SN+0005 | SN+0006"</x:f>
        <x:v>SN+0003 | SN+0005 | SN+0006</x:v>
      </x:c>
    </x:row>
    <x:row r="449">
      <x:c r="A449" s="22" t="n">
        <x:v>445</x:v>
      </x:c>
      <x:c r="B449" s="28" t="str">
        <x:f>"SN+0008"</x:f>
        <x:v>SN+0008</x:v>
      </x:c>
      <x:c r="C449" s="22" t="str">
        <x:v>SULFATO DE NEOMICINA + BACITRACINA ZINCICA 15G EMS</x:v>
      </x:c>
      <x:c r="D449" s="22" t="str">
        <x:v>SULFATO NEOMICINA + BACITRACINA ZINCICA</x:v>
      </x:c>
      <x:c r="E449" s="22" t="str">
        <x:v>SULFATO NEOMICINA BACITRACINA</x:v>
      </x:c>
      <x:c r="F449" s="22" t="str">
        <x:v>15G</x:v>
      </x:c>
      <x:c r="G449" s="22" t="str">
        <x:v>15G</x:v>
      </x:c>
      <x:c r="H449" s="22" t="str">
        <x:v>UND</x:v>
      </x:c>
      <x:c r="I449" s="22" t="str">
        <x:v>UNIDADE</x:v>
      </x:c>
      <x:c r="J449" s="22" t="str">
        <x:v>EMS</x:v>
      </x:c>
      <x:c r="K449" s="28" t="str">
        <x:f>"GTIN: 7896004715902"</x:f>
        <x:v>GTIN: 7896004715902</x:v>
      </x:c>
      <x:c r="L449" s="28" t="str">
        <x:f>"30042069"</x:f>
        <x:v>30042069</x:v>
      </x:c>
      <x:c r="M449" s="22" t="str">
        <x:v>UND</x:v>
      </x:c>
      <x:c r="N449" s="22" t="str">
        <x:v>UND</x:v>
      </x:c>
      <x:c r="O449" s="22" t="n">
        <x:v>1</x:v>
      </x:c>
      <x:c r="P449" s="28" t="str">
        <x:f>"774 | 775"</x:f>
        <x:v>774 | 775</x:v>
      </x:c>
      <x:c r="Q449" s="28" t="str">
        <x:f>"SN+0008 | SN+0007"</x:f>
        <x:v>SN+0008 | SN+0007</x:v>
      </x:c>
    </x:row>
    <x:row r="450">
      <x:c r="A450" s="22" t="n">
        <x:v>446</x:v>
      </x:c>
      <x:c r="B450" s="28" t="str">
        <x:f>"SN50006"</x:f>
        <x:v>SN50006</x:v>
      </x:c>
      <x:c r="C450" s="22" t="str">
        <x:v>SULFATO DE NEOMICINA 5MG/G + BACITRACINA ZINCICA 250UI/G 10G - ALTEFAR</x:v>
      </x:c>
      <x:c r="D450" s="22" t="str">
        <x:v>SULFATO NEOMICINA + BACITRACINA ZINCICA G</x:v>
      </x:c>
      <x:c r="E450" s="22" t="str">
        <x:v>SULFATO NEOMICINA BACITRACINA</x:v>
      </x:c>
      <x:c r="F450" s="22" t="str">
        <x:v>5MG/G | 5MG | 250UI | 10G</x:v>
      </x:c>
      <x:c r="G450" s="22" t="str">
        <x:v>10G</x:v>
      </x:c>
      <x:c r="H450" s="22" t="str">
        <x:v>UND</x:v>
      </x:c>
      <x:c r="I450" s="22" t="str">
        <x:v>UNIDADE</x:v>
      </x:c>
      <x:c r="J450" s="22" t="str">
        <x:v>ALTEFAR</x:v>
      </x:c>
      <x:c r="K450" s="28" t="str">
        <x:f>"GTIN: 7897917004992"</x:f>
        <x:v>GTIN: 7897917004992</x:v>
      </x:c>
      <x:c r="L450" s="28" t="str">
        <x:f>"30042069"</x:f>
        <x:v>30042069</x:v>
      </x:c>
      <x:c r="M450" s="22" t="str">
        <x:v>UND</x:v>
      </x:c>
      <x:c r="N450" s="22" t="str">
        <x:v>UND</x:v>
      </x:c>
      <x:c r="O450" s="22" t="n">
        <x:v>1</x:v>
      </x:c>
      <x:c r="P450" s="28" t="str">
        <x:f>"776"</x:f>
        <x:v>776</x:v>
      </x:c>
      <x:c r="Q450" s="28" t="str">
        <x:f>"SN50006"</x:f>
        <x:v>SN50006</x:v>
      </x:c>
    </x:row>
    <x:row r="451">
      <x:c r="A451" s="22" t="n">
        <x:v>447</x:v>
      </x:c>
      <x:c r="B451" s="28" t="str">
        <x:f>"SN+0002"</x:f>
        <x:v>SN+0002</x:v>
      </x:c>
      <x:c r="C451" s="22" t="str">
        <x:v>SULFATO DE NEOMICINA 5MG/G + BACITRACINA ZINCICA 250UI/G 15G ALTEFAR</x:v>
      </x:c>
      <x:c r="D451" s="22" t="str">
        <x:v>SULFATO NEOMICINA + BACITRACINA ZINCICA G</x:v>
      </x:c>
      <x:c r="E451" s="22" t="str">
        <x:v>SULFATO NEOMICINA BACITRACINA</x:v>
      </x:c>
      <x:c r="F451" s="22" t="str">
        <x:v>5MG/G | 5MG | 250UI | 15G</x:v>
      </x:c>
      <x:c r="G451" s="22" t="str">
        <x:v>15G</x:v>
      </x:c>
      <x:c r="H451" s="22" t="str">
        <x:v>UND</x:v>
      </x:c>
      <x:c r="I451" s="22" t="str">
        <x:v>UNIDADE</x:v>
      </x:c>
      <x:c r="J451" s="22" t="str">
        <x:v>ALTEFAR</x:v>
      </x:c>
      <x:c r="K451" s="28" t="str"/>
      <x:c r="L451" s="28" t="str">
        <x:f>"30042069"</x:f>
        <x:v>30042069</x:v>
      </x:c>
      <x:c r="M451" s="22" t="str">
        <x:v>UND</x:v>
      </x:c>
      <x:c r="N451" s="22" t="str">
        <x:v>UND</x:v>
      </x:c>
      <x:c r="O451" s="22" t="n">
        <x:v>1</x:v>
      </x:c>
      <x:c r="P451" s="28" t="str">
        <x:f>"777"</x:f>
        <x:v>777</x:v>
      </x:c>
      <x:c r="Q451" s="28" t="str">
        <x:f>"SN+0002"</x:f>
        <x:v>SN+0002</x:v>
      </x:c>
    </x:row>
    <x:row r="452">
      <x:c r="A452" s="22" t="n">
        <x:v>448</x:v>
      </x:c>
      <x:c r="B452" s="28" t="str">
        <x:f>"SN50005"</x:f>
        <x:v>SN50005</x:v>
      </x:c>
      <x:c r="C452" s="22" t="str">
        <x:v>SULFATO DE NEOMICINA 5MG/G + BACITRACINA ZINCICA 250UI/G 15G MEDLEY</x:v>
      </x:c>
      <x:c r="D452" s="22" t="str">
        <x:v>SULFATO NEOMICINA + BACITRACINA ZINCICA G</x:v>
      </x:c>
      <x:c r="E452" s="22" t="str">
        <x:v>SULFATO NEOMICINA BACITRACINA</x:v>
      </x:c>
      <x:c r="F452" s="22" t="str">
        <x:v>5MG/G | 5MG | 250UI | 15G</x:v>
      </x:c>
      <x:c r="G452" s="22" t="str">
        <x:v>15G</x:v>
      </x:c>
      <x:c r="H452" s="22" t="str">
        <x:v>UND</x:v>
      </x:c>
      <x:c r="I452" s="22" t="str">
        <x:v>UNIDADE</x:v>
      </x:c>
      <x:c r="J452" s="22" t="str">
        <x:v>MEDLEY</x:v>
      </x:c>
      <x:c r="K452" s="28" t="str">
        <x:f>"GTIN: 04136033"</x:f>
        <x:v>GTIN: 04136033</x:v>
      </x:c>
      <x:c r="L452" s="28" t="str">
        <x:f>"30042069"</x:f>
        <x:v>30042069</x:v>
      </x:c>
      <x:c r="M452" s="22" t="str">
        <x:v>UND</x:v>
      </x:c>
      <x:c r="N452" s="22" t="str">
        <x:v>UND</x:v>
      </x:c>
      <x:c r="O452" s="22" t="n">
        <x:v>1</x:v>
      </x:c>
      <x:c r="P452" s="28" t="str">
        <x:f>"778 | 779"</x:f>
        <x:v>778 | 779</x:v>
      </x:c>
      <x:c r="Q452" s="28" t="str">
        <x:f>"SN50005 | SN50004"</x:f>
        <x:v>SN50005 | SN50004</x:v>
      </x:c>
    </x:row>
    <x:row r="453">
      <x:c r="A453" s="22" t="n">
        <x:v>449</x:v>
      </x:c>
      <x:c r="B453" s="28" t="str">
        <x:f>"SN50003"</x:f>
        <x:v>SN50003</x:v>
      </x:c>
      <x:c r="C453" s="22" t="str">
        <x:v>SULFATO DE NEOMICINA 5MG/G + BACITRACINA ZINCICA 250UI/G 15G PRATI</x:v>
      </x:c>
      <x:c r="D453" s="22" t="str">
        <x:v>SULFATO NEOMICINA + BACITRACINA ZINCICA G</x:v>
      </x:c>
      <x:c r="E453" s="22" t="str">
        <x:v>SULFATO NEOMICINA BACITRACINA</x:v>
      </x:c>
      <x:c r="F453" s="22" t="str">
        <x:v>5MG/G | 5MG | 250UI | 15G</x:v>
      </x:c>
      <x:c r="G453" s="22" t="str">
        <x:v>15G</x:v>
      </x:c>
      <x:c r="H453" s="22" t="str">
        <x:v>UND</x:v>
      </x:c>
      <x:c r="I453" s="22" t="str">
        <x:v>UNIDADE</x:v>
      </x:c>
      <x:c r="J453" s="22" t="str">
        <x:v>PRATI</x:v>
      </x:c>
      <x:c r="K453" s="28" t="str">
        <x:f>"GTIN: 04136033"</x:f>
        <x:v>GTIN: 04136033</x:v>
      </x:c>
      <x:c r="L453" s="28" t="str">
        <x:f>"30042069"</x:f>
        <x:v>30042069</x:v>
      </x:c>
      <x:c r="M453" s="22" t="str">
        <x:v>UND</x:v>
      </x:c>
      <x:c r="N453" s="22" t="str">
        <x:v>UND</x:v>
      </x:c>
      <x:c r="O453" s="22" t="n">
        <x:v>1</x:v>
      </x:c>
      <x:c r="P453" s="28" t="str">
        <x:f>"780 | 781 | 782"</x:f>
        <x:v>780 | 781 | 782</x:v>
      </x:c>
      <x:c r="Q453" s="28" t="str">
        <x:f>"SN50001 | SN50003 | SN50002"</x:f>
        <x:v>SN50001 | SN50003 | SN50002</x:v>
      </x:c>
    </x:row>
    <x:row r="454">
      <x:c r="A454" s="22" t="n">
        <x:v>450</x:v>
      </x:c>
      <x:c r="B454" s="28" t="str">
        <x:f>"SPB0001"</x:f>
        <x:v>SPB0001</x:v>
      </x:c>
      <x:c r="C454" s="22" t="str">
        <x:v>SULFATO DE POLIMIXINA B 500.000 UI FR - CX/25 - BLAU</x:v>
      </x:c>
      <x:c r="D454" s="22" t="str">
        <x:v>SULFATO POLIMIXINA B</x:v>
      </x:c>
      <x:c r="E454" s="22" t="str">
        <x:v>SULFATO POLIMIXINA B</x:v>
      </x:c>
      <x:c r="F454" s="22" t="str">
        <x:v>500.000UI</x:v>
      </x:c>
      <x:c r="G454" s="22" t="str"/>
      <x:c r="H454" s="22" t="str">
        <x:v>FR | CX/25 | CX | CONTEUDO25 | FATOR25</x:v>
      </x:c>
      <x:c r="I454" s="22" t="str">
        <x:v>CAIXA</x:v>
      </x:c>
      <x:c r="J454" s="22" t="str">
        <x:v>BLAU</x:v>
      </x:c>
      <x:c r="K454" s="28" t="str"/>
      <x:c r="L454" s="28" t="str">
        <x:f>"30042079"</x:f>
        <x:v>30042079</x:v>
      </x:c>
      <x:c r="M454" s="22" t="str">
        <x:v>UN</x:v>
      </x:c>
      <x:c r="N454" s="22" t="str">
        <x:v>CX</x:v>
      </x:c>
      <x:c r="O454" s="22" t="n">
        <x:v>25</x:v>
      </x:c>
      <x:c r="P454" s="28" t="str">
        <x:f>"783"</x:f>
        <x:v>783</x:v>
      </x:c>
      <x:c r="Q454" s="28" t="str">
        <x:f>"SPB0001"</x:f>
        <x:v>SPB0001</x:v>
      </x:c>
    </x:row>
    <x:row r="455">
      <x:c r="A455" s="22" t="n">
        <x:v>451</x:v>
      </x:c>
      <x:c r="B455" s="28" t="str">
        <x:f>"SPB0002"</x:f>
        <x:v>SPB0002</x:v>
      </x:c>
      <x:c r="C455" s="22" t="str">
        <x:v>SULFATO DE POLIMIXINA B 500.000 UI FR - CX/5 - UNIÃO QUIMICA</x:v>
      </x:c>
      <x:c r="D455" s="22" t="str">
        <x:v>SULFATO POLIMIXINA B</x:v>
      </x:c>
      <x:c r="E455" s="22" t="str">
        <x:v>SULFATO POLIMIXINA B</x:v>
      </x:c>
      <x:c r="F455" s="22" t="str">
        <x:v>500.000UI</x:v>
      </x:c>
      <x:c r="G455" s="22" t="str"/>
      <x:c r="H455" s="22" t="str">
        <x:v>FR | CX/5 | CX | CONTEUDO5 | FATOR5</x:v>
      </x:c>
      <x:c r="I455" s="22" t="str">
        <x:v>CAIXA</x:v>
      </x:c>
      <x:c r="J455" s="22" t="str">
        <x:v>UNIÃO QUIMICA</x:v>
      </x:c>
      <x:c r="K455" s="28" t="str"/>
      <x:c r="L455" s="28" t="str">
        <x:f>"30042079"</x:f>
        <x:v>30042079</x:v>
      </x:c>
      <x:c r="M455" s="22" t="str">
        <x:v>UN</x:v>
      </x:c>
      <x:c r="N455" s="22" t="str">
        <x:v>CX</x:v>
      </x:c>
      <x:c r="O455" s="22" t="n">
        <x:v>5</x:v>
      </x:c>
      <x:c r="P455" s="28" t="str">
        <x:f>"784"</x:f>
        <x:v>784</x:v>
      </x:c>
      <x:c r="Q455" s="28" t="str">
        <x:f>"SPB0002"</x:f>
        <x:v>SPB0002</x:v>
      </x:c>
    </x:row>
    <x:row r="456">
      <x:c r="A456" s="22" t="n">
        <x:v>452</x:v>
      </x:c>
      <x:c r="B456" s="28" t="str">
        <x:f>"SF40001"</x:f>
        <x:v>SF40001</x:v>
      </x:c>
      <x:c r="C456" s="22" t="str">
        <x:v>SURGICEL FIBRILLAR 4INX4IN (10.2CMX10.2CM) - ETHICON</x:v>
      </x:c>
      <x:c r="D456" s="22" t="str">
        <x:v>SURGICEL FIBRILLAR 4INX4IN</x:v>
      </x:c>
      <x:c r="E456" s="22" t="str">
        <x:v>SURGICEL FIBRILLAR 4INX4IN</x:v>
      </x:c>
      <x:c r="F456" s="22" t="str"/>
      <x:c r="G456" s="22" t="str"/>
      <x:c r="H456" s="22" t="str">
        <x:v>UN</x:v>
      </x:c>
      <x:c r="I456" s="22" t="str">
        <x:v>UNIDADE</x:v>
      </x:c>
      <x:c r="J456" s="22" t="str">
        <x:v>ETHICON</x:v>
      </x:c>
      <x:c r="K456" s="28" t="str">
        <x:f>"GTIN: 1070503100521"</x:f>
        <x:v>GTIN: 1070503100521</x:v>
      </x:c>
      <x:c r="L456" s="28" t="str">
        <x:f>"30061090"</x:f>
        <x:v>30061090</x:v>
      </x:c>
      <x:c r="M456" s="22" t="str">
        <x:v>UN</x:v>
      </x:c>
      <x:c r="N456" s="22" t="str">
        <x:v>UN</x:v>
      </x:c>
      <x:c r="O456" s="22" t="n">
        <x:v>1</x:v>
      </x:c>
      <x:c r="P456" s="28" t="str">
        <x:f>"785"</x:f>
        <x:v>785</x:v>
      </x:c>
      <x:c r="Q456" s="28" t="str">
        <x:f>"SF40001"</x:f>
        <x:v>SF40001</x:v>
      </x:c>
    </x:row>
    <x:row r="457">
      <x:c r="A457" s="22" t="n">
        <x:v>453</x:v>
      </x:c>
      <x:c r="B457" s="28" t="str">
        <x:f>"TM10002"</x:f>
        <x:v>TM10002</x:v>
      </x:c>
      <x:c r="C457" s="22" t="str">
        <x:v>TARTARATO DE METROPOLOL 1MG/ML FR 5ML CX/05 - TEUTO</x:v>
      </x:c>
      <x:c r="D457" s="22" t="str">
        <x:v>TARTARATO METROPOLOL</x:v>
      </x:c>
      <x:c r="E457" s="22" t="str">
        <x:v>TARTARATO METROPOLOL</x:v>
      </x:c>
      <x:c r="F457" s="22" t="str">
        <x:v>1MG/ML | 1MG | 5ML</x:v>
      </x:c>
      <x:c r="G457" s="22" t="str"/>
      <x:c r="H457" s="22" t="str">
        <x:v>FR | CX/05 | CX | CONTEUDO5 | FATOR5</x:v>
      </x:c>
      <x:c r="I457" s="22" t="str">
        <x:v>CAIXA</x:v>
      </x:c>
      <x:c r="J457" s="22" t="str">
        <x:v>TEUTO</x:v>
      </x:c>
      <x:c r="K457" s="28" t="str"/>
      <x:c r="L457" s="28" t="str">
        <x:f>"30049039"</x:f>
        <x:v>30049039</x:v>
      </x:c>
      <x:c r="M457" s="22" t="str">
        <x:v>UN</x:v>
      </x:c>
      <x:c r="N457" s="22" t="str">
        <x:v>CX</x:v>
      </x:c>
      <x:c r="O457" s="22" t="n">
        <x:v>5</x:v>
      </x:c>
      <x:c r="P457" s="28" t="str">
        <x:f>"786 | 787 | 788"</x:f>
        <x:v>786 | 787 | 788</x:v>
      </x:c>
      <x:c r="Q457" s="28" t="str">
        <x:f>"TM10002 | TM10003 | TM10001"</x:f>
        <x:v>TM10002 | TM10003 | TM10001</x:v>
      </x:c>
    </x:row>
    <x:row r="458">
      <x:c r="A458" s="22" t="n">
        <x:v>454</x:v>
      </x:c>
      <x:c r="B458" s="28" t="str">
        <x:f>"T2-0010"</x:f>
        <x:v>T2-0010</x:v>
      </x:c>
      <x:c r="C458" s="22" t="str">
        <x:v>TENOXICAM 20MG/2ML - CX/50 - CRISTALIA</x:v>
      </x:c>
      <x:c r="D458" s="22" t="str">
        <x:v>TENOXICAM</x:v>
      </x:c>
      <x:c r="E458" s="22" t="str">
        <x:v>TENOXICAM</x:v>
      </x:c>
      <x:c r="F458" s="22" t="str">
        <x:v>20MG/2ML | 20MG | 2ML</x:v>
      </x:c>
      <x:c r="G458" s="22" t="str"/>
      <x:c r="H458" s="22" t="str">
        <x:v>CX/50 | CX | CONTEUDO50 | FATOR50</x:v>
      </x:c>
      <x:c r="I458" s="22" t="str">
        <x:v>CAIXA</x:v>
      </x:c>
      <x:c r="J458" s="22" t="str">
        <x:v>CRISTALIA</x:v>
      </x:c>
      <x:c r="K458" s="28" t="str">
        <x:f>"GTIN: 7896676416206"</x:f>
        <x:v>GTIN: 7896676416206</x:v>
      </x:c>
      <x:c r="L458" s="28" t="str">
        <x:f>"30049073"</x:f>
        <x:v>30049073</x:v>
      </x:c>
      <x:c r="M458" s="22" t="str">
        <x:v>UN</x:v>
      </x:c>
      <x:c r="N458" s="22" t="str">
        <x:v>CX</x:v>
      </x:c>
      <x:c r="O458" s="22" t="n">
        <x:v>50</x:v>
      </x:c>
      <x:c r="P458" s="28" t="str">
        <x:f>"794"</x:f>
        <x:v>794</x:v>
      </x:c>
      <x:c r="Q458" s="28" t="str">
        <x:f>"T2-0010"</x:f>
        <x:v>T2-0010</x:v>
      </x:c>
    </x:row>
    <x:row r="459">
      <x:c r="A459" s="22" t="n">
        <x:v>455</x:v>
      </x:c>
      <x:c r="B459" s="28" t="str">
        <x:f>"T2-0011"</x:f>
        <x:v>T2-0011</x:v>
      </x:c>
      <x:c r="C459" s="22" t="str">
        <x:v>TENOXICAM 20MG/2ML - CX/50 - UNIAO QUIMICA</x:v>
      </x:c>
      <x:c r="D459" s="22" t="str">
        <x:v>TENOXICAM</x:v>
      </x:c>
      <x:c r="E459" s="22" t="str">
        <x:v>TENOXICAM</x:v>
      </x:c>
      <x:c r="F459" s="22" t="str">
        <x:v>20MG/2ML | 20MG | 2ML</x:v>
      </x:c>
      <x:c r="G459" s="22" t="str"/>
      <x:c r="H459" s="22" t="str">
        <x:v>CX/50 | CX | CONTEUDO50 | FATOR50</x:v>
      </x:c>
      <x:c r="I459" s="22" t="str">
        <x:v>CAIXA</x:v>
      </x:c>
      <x:c r="J459" s="22" t="str">
        <x:v>UNIAO QUIMICA</x:v>
      </x:c>
      <x:c r="K459" s="28" t="str">
        <x:f>"GTIN: 7896006219149"</x:f>
        <x:v>GTIN: 7896006219149</x:v>
      </x:c>
      <x:c r="L459" s="28" t="str">
        <x:f>"30049073"</x:f>
        <x:v>30049073</x:v>
      </x:c>
      <x:c r="M459" s="22" t="str">
        <x:v>UN</x:v>
      </x:c>
      <x:c r="N459" s="22" t="str">
        <x:v>CX</x:v>
      </x:c>
      <x:c r="O459" s="22" t="n">
        <x:v>50</x:v>
      </x:c>
      <x:c r="P459" s="28" t="str">
        <x:f>"795"</x:f>
        <x:v>795</x:v>
      </x:c>
      <x:c r="Q459" s="28" t="str">
        <x:f>"T2-0011"</x:f>
        <x:v>T2-0011</x:v>
      </x:c>
    </x:row>
    <x:row r="460">
      <x:c r="A460" s="22" t="n">
        <x:v>456</x:v>
      </x:c>
      <x:c r="B460" s="28" t="str">
        <x:f>"T2C0002"</x:f>
        <x:v>T2C0002</x:v>
      </x:c>
      <x:c r="C460" s="22" t="str">
        <x:v>TENOXICAM 20MG/2ML CX/50 - EUROFARMA</x:v>
      </x:c>
      <x:c r="D460" s="22" t="str">
        <x:v>TENOXICAM</x:v>
      </x:c>
      <x:c r="E460" s="22" t="str">
        <x:v>TENOXICAM</x:v>
      </x:c>
      <x:c r="F460" s="22" t="str">
        <x:v>20MG/2ML | 20MG | 2ML</x:v>
      </x:c>
      <x:c r="G460" s="22" t="str"/>
      <x:c r="H460" s="22" t="str">
        <x:v>CX/50 | CX | CONTEUDO50 | FATOR50</x:v>
      </x:c>
      <x:c r="I460" s="22" t="str">
        <x:v>CAIXA</x:v>
      </x:c>
      <x:c r="J460" s="22" t="str">
        <x:v>EUROFARMA</x:v>
      </x:c>
      <x:c r="K460" s="28" t="str">
        <x:f>"GTIN: 7891317009878"</x:f>
        <x:v>GTIN: 7891317009878</x:v>
      </x:c>
      <x:c r="L460" s="28" t="str">
        <x:f>"30049073"</x:f>
        <x:v>30049073</x:v>
      </x:c>
      <x:c r="M460" s="22" t="str">
        <x:v>UN</x:v>
      </x:c>
      <x:c r="N460" s="22" t="str">
        <x:v>CX</x:v>
      </x:c>
      <x:c r="O460" s="22" t="n">
        <x:v>50</x:v>
      </x:c>
      <x:c r="P460" s="28" t="str">
        <x:f>"789 | 790 | 791 | 792 | 796"</x:f>
        <x:v>789 | 790 | 791 | 792 | 796</x:v>
      </x:c>
      <x:c r="Q460" s="28" t="str">
        <x:f>"T2C0002 | T2C0003 | T2C0005 | T2C0029 | T2C0004"</x:f>
        <x:v>T2C0002 | T2C0003 | T2C0005 | T2C0029 | T2C0004</x:v>
      </x:c>
    </x:row>
    <x:row r="461">
      <x:c r="A461" s="22" t="n">
        <x:v>457</x:v>
      </x:c>
      <x:c r="B461" s="28" t="str">
        <x:f>"T2C0030"</x:f>
        <x:v>T2C0030</x:v>
      </x:c>
      <x:c r="C461" s="22" t="str">
        <x:v>TENOXICAM 20MG/2ML CX/50 CRISTALIA</x:v>
      </x:c>
      <x:c r="D461" s="22" t="str">
        <x:v>TENOXICAM</x:v>
      </x:c>
      <x:c r="E461" s="22" t="str">
        <x:v>TENOXICAM</x:v>
      </x:c>
      <x:c r="F461" s="22" t="str">
        <x:v>20MG/2ML | 20MG | 2ML</x:v>
      </x:c>
      <x:c r="G461" s="22" t="str"/>
      <x:c r="H461" s="22" t="str">
        <x:v>CX/50 | CX | CONTEUDO50 | FATOR50</x:v>
      </x:c>
      <x:c r="I461" s="22" t="str">
        <x:v>CAIXA</x:v>
      </x:c>
      <x:c r="J461" s="22" t="str">
        <x:v>CRISTALIA</x:v>
      </x:c>
      <x:c r="K461" s="28" t="str">
        <x:f>"GTIN: 7891317009878"</x:f>
        <x:v>GTIN: 7891317009878</x:v>
      </x:c>
      <x:c r="L461" s="28" t="str">
        <x:f>"30049073"</x:f>
        <x:v>30049073</x:v>
      </x:c>
      <x:c r="M461" s="22" t="str">
        <x:v>UN</x:v>
      </x:c>
      <x:c r="N461" s="22" t="str">
        <x:v>CX</x:v>
      </x:c>
      <x:c r="O461" s="22" t="n">
        <x:v>50</x:v>
      </x:c>
      <x:c r="P461" s="28" t="str">
        <x:f>"793"</x:f>
        <x:v>793</x:v>
      </x:c>
      <x:c r="Q461" s="28" t="str">
        <x:f>"T2C0030"</x:f>
        <x:v>T2C0030</x:v>
      </x:c>
    </x:row>
    <x:row r="462">
      <x:c r="A462" s="22" t="n">
        <x:v>458</x:v>
      </x:c>
      <x:c r="B462" s="28" t="str">
        <x:f>"TRV0001"</x:f>
        <x:v>TRV0001</x:v>
      </x:c>
      <x:c r="C462" s="22" t="str">
        <x:v>TIRAS P/TESTE DE GLICOSE - CX/50 - G-TECH</x:v>
      </x:c>
      <x:c r="D462" s="22" t="str">
        <x:v>TIRAS TESTE GLICOSE</x:v>
      </x:c>
      <x:c r="E462" s="22" t="str">
        <x:v>TIRAS TESTE GLICOSE</x:v>
      </x:c>
      <x:c r="F462" s="22" t="str"/>
      <x:c r="G462" s="22" t="str"/>
      <x:c r="H462" s="22" t="str">
        <x:v>CX/50 | CX | CONTEUDO50 | FATOR50</x:v>
      </x:c>
      <x:c r="I462" s="22" t="str">
        <x:v>CAIXA</x:v>
      </x:c>
      <x:c r="J462" s="22" t="str">
        <x:v>G-TECH</x:v>
      </x:c>
      <x:c r="K462" s="28" t="str">
        <x:f>"GTIN: 7898639693594"</x:f>
        <x:v>GTIN: 7898639693594</x:v>
      </x:c>
      <x:c r="L462" s="28" t="str">
        <x:f>"38221920"</x:f>
        <x:v>38221920</x:v>
      </x:c>
      <x:c r="M462" s="22" t="str">
        <x:v>UN</x:v>
      </x:c>
      <x:c r="N462" s="22" t="str">
        <x:v>CX</x:v>
      </x:c>
      <x:c r="O462" s="22" t="n">
        <x:v>50</x:v>
      </x:c>
      <x:c r="P462" s="28" t="str">
        <x:f>"797"</x:f>
        <x:v>797</x:v>
      </x:c>
      <x:c r="Q462" s="28" t="str">
        <x:f>"TRV0001"</x:f>
        <x:v>TRV0001</x:v>
      </x:c>
    </x:row>
    <x:row r="463">
      <x:c r="A463" s="22" t="n">
        <x:v>459</x:v>
      </x:c>
      <x:c r="B463" s="28" t="str">
        <x:f>"TPG0001"</x:f>
        <x:v>TPG0001</x:v>
      </x:c>
      <x:c r="C463" s="22" t="str">
        <x:v>TIRAS P/TESTE DE GLICOSE ON CALL PLUS II - CX/50 - ACON BIOTECH</x:v>
      </x:c>
      <x:c r="D463" s="22" t="str">
        <x:v>TIRAS TESTE GLICOSE ON CALL PLUS II</x:v>
      </x:c>
      <x:c r="E463" s="22" t="str">
        <x:v>TIRAS TESTE GLICOSE</x:v>
      </x:c>
      <x:c r="F463" s="22" t="str"/>
      <x:c r="G463" s="22" t="str"/>
      <x:c r="H463" s="22" t="str">
        <x:v>CX/50 | CX | CONTEUDO50 | FATOR50</x:v>
      </x:c>
      <x:c r="I463" s="22" t="str">
        <x:v>CAIXA</x:v>
      </x:c>
      <x:c r="J463" s="22" t="str">
        <x:v>ACON BIOTECH</x:v>
      </x:c>
      <x:c r="K463" s="28" t="str">
        <x:f>"GTIN: 7898639693594"</x:f>
        <x:v>GTIN: 7898639693594</x:v>
      </x:c>
      <x:c r="L463" s="28" t="str">
        <x:f>"38221920"</x:f>
        <x:v>38221920</x:v>
      </x:c>
      <x:c r="M463" s="22" t="str">
        <x:v>UN</x:v>
      </x:c>
      <x:c r="N463" s="22" t="str">
        <x:v>CX</x:v>
      </x:c>
      <x:c r="O463" s="22" t="n">
        <x:v>50</x:v>
      </x:c>
      <x:c r="P463" s="28" t="str">
        <x:f>"798"</x:f>
        <x:v>798</x:v>
      </x:c>
      <x:c r="Q463" s="28" t="str">
        <x:f>"TPG0001"</x:f>
        <x:v>TPG0001</x:v>
      </x:c>
    </x:row>
    <x:row r="464">
      <x:c r="A464" s="22" t="n">
        <x:v>460</x:v>
      </x:c>
      <x:c r="B464" s="28" t="str">
        <x:f>"TBD0001"</x:f>
        <x:v>TBD0001</x:v>
      </x:c>
      <x:c r="C464" s="22" t="str">
        <x:v>TOUCA BRANCA DESC. SANFONADA C/ELASTICO - PCT/100 - ANADONA</x:v>
      </x:c>
      <x:c r="D464" s="22" t="str">
        <x:v>TOUCA BRANCA DESC SANFONADA ELASTICO</x:v>
      </x:c>
      <x:c r="E464" s="22" t="str">
        <x:v>TOUCA BRANCA DESC</x:v>
      </x:c>
      <x:c r="F464" s="22" t="str"/>
      <x:c r="G464" s="22" t="str"/>
      <x:c r="H464" s="22" t="str">
        <x:v>PCT/100 | PC | CONTEUDO100 | FATOR100</x:v>
      </x:c>
      <x:c r="I464" s="22" t="str">
        <x:v>OUTRA</x:v>
      </x:c>
      <x:c r="J464" s="22" t="str">
        <x:v>ANADONA</x:v>
      </x:c>
      <x:c r="K464" s="28" t="str">
        <x:f>"GTIN: 7898433202565"</x:f>
        <x:v>GTIN: 7898433202565</x:v>
      </x:c>
      <x:c r="L464" s="28" t="str">
        <x:f>"62101000"</x:f>
        <x:v>62101000</x:v>
      </x:c>
      <x:c r="M464" s="22" t="str">
        <x:v>UN</x:v>
      </x:c>
      <x:c r="N464" s="22" t="str">
        <x:v>PC</x:v>
      </x:c>
      <x:c r="O464" s="22" t="n">
        <x:v>100</x:v>
      </x:c>
      <x:c r="P464" s="28" t="str">
        <x:f>"799"</x:f>
        <x:v>799</x:v>
      </x:c>
      <x:c r="Q464" s="28" t="str">
        <x:f>"TBD0001"</x:f>
        <x:v>TBD0001</x:v>
      </x:c>
    </x:row>
    <x:row r="465">
      <x:c r="A465" s="22" t="n">
        <x:v>461</x:v>
      </x:c>
      <x:c r="B465" s="28" t="str">
        <x:f>"TBD0004"</x:f>
        <x:v>TBD0004</x:v>
      </x:c>
      <x:c r="C465" s="22" t="str">
        <x:v>TOUCA BRANCA DESC. SANFONADA C/ELASTICO - PCT/100 - DEJAMARO</x:v>
      </x:c>
      <x:c r="D465" s="22" t="str">
        <x:v>TOUCA BRANCA DESC SANFONADA ELASTICO</x:v>
      </x:c>
      <x:c r="E465" s="22" t="str">
        <x:v>TOUCA BRANCA DESC</x:v>
      </x:c>
      <x:c r="F465" s="22" t="str"/>
      <x:c r="G465" s="22" t="str"/>
      <x:c r="H465" s="22" t="str">
        <x:v>PCT/100 | PC | CONTEUDO100 | FATOR100</x:v>
      </x:c>
      <x:c r="I465" s="22" t="str">
        <x:v>OUTRA</x:v>
      </x:c>
      <x:c r="J465" s="22" t="str">
        <x:v>DEJAMARO</x:v>
      </x:c>
      <x:c r="K465" s="28" t="str"/>
      <x:c r="L465" s="28" t="str">
        <x:f>"62101000"</x:f>
        <x:v>62101000</x:v>
      </x:c>
      <x:c r="M465" s="22" t="str">
        <x:v>UN</x:v>
      </x:c>
      <x:c r="N465" s="22" t="str">
        <x:v>PC</x:v>
      </x:c>
      <x:c r="O465" s="22" t="n">
        <x:v>100</x:v>
      </x:c>
      <x:c r="P465" s="28" t="str">
        <x:f>"800"</x:f>
        <x:v>800</x:v>
      </x:c>
      <x:c r="Q465" s="28" t="str">
        <x:f>"TBD0004"</x:f>
        <x:v>TBD0004</x:v>
      </x:c>
    </x:row>
    <x:row r="466">
      <x:c r="A466" s="22" t="n">
        <x:v>462</x:v>
      </x:c>
      <x:c r="B466" s="28" t="str">
        <x:f>"TEA0010"</x:f>
        <x:v>TEA0010</x:v>
      </x:c>
      <x:c r="C466" s="22" t="str">
        <x:v>TUBO ENDOTRAQUEAL ARAMADO C/BALÃO 3,5 - CX/25 - MEDIX</x:v>
      </x:c>
      <x:c r="D466" s="22" t="str">
        <x:v>TUBO ENDOTRAQUEAL ARAMADO BALAO</x:v>
      </x:c>
      <x:c r="E466" s="22" t="str">
        <x:v>TUBO ENDOTRAQUEAL ARAMADO</x:v>
      </x:c>
      <x:c r="F466" s="22" t="str"/>
      <x:c r="G466" s="22" t="str"/>
      <x:c r="H466" s="22" t="str">
        <x:v>CX/25 | CX | CONTEUDO25 | FATOR25</x:v>
      </x:c>
      <x:c r="I466" s="22" t="str">
        <x:v>CAIXA</x:v>
      </x:c>
      <x:c r="J466" s="22" t="str">
        <x:v>MEDIX</x:v>
      </x:c>
      <x:c r="K466" s="28" t="str">
        <x:f>"GTIN: 7898913077164"</x:f>
        <x:v>GTIN: 7898913077164</x:v>
      </x:c>
      <x:c r="L466" s="28" t="str">
        <x:f>"90183929"</x:f>
        <x:v>90183929</x:v>
      </x:c>
      <x:c r="M466" s="22" t="str">
        <x:v>UN</x:v>
      </x:c>
      <x:c r="N466" s="22" t="str">
        <x:v>CX</x:v>
      </x:c>
      <x:c r="O466" s="22" t="n">
        <x:v>25</x:v>
      </x:c>
      <x:c r="P466" s="28" t="str">
        <x:f>"801"</x:f>
        <x:v>801</x:v>
      </x:c>
      <x:c r="Q466" s="28" t="str">
        <x:f>"TEA0010"</x:f>
        <x:v>TEA0010</x:v>
      </x:c>
    </x:row>
    <x:row r="467">
      <x:c r="A467" s="22" t="n">
        <x:v>463</x:v>
      </x:c>
      <x:c r="B467" s="28" t="str">
        <x:f>"TEA0009"</x:f>
        <x:v>TEA0009</x:v>
      </x:c>
      <x:c r="C467" s="22" t="str">
        <x:v>TUBO ENDOTRAQUEAL ARAMADO C/BALÃO 4,0 - CX/25 - MEDIX</x:v>
      </x:c>
      <x:c r="D467" s="22" t="str">
        <x:v>TUBO ENDOTRAQUEAL ARAMADO BALAO</x:v>
      </x:c>
      <x:c r="E467" s="22" t="str">
        <x:v>TUBO ENDOTRAQUEAL ARAMADO</x:v>
      </x:c>
      <x:c r="F467" s="22" t="str"/>
      <x:c r="G467" s="22" t="str"/>
      <x:c r="H467" s="22" t="str">
        <x:v>CX/25 | CX | CONTEUDO25 | FATOR25</x:v>
      </x:c>
      <x:c r="I467" s="22" t="str">
        <x:v>CAIXA</x:v>
      </x:c>
      <x:c r="J467" s="22" t="str">
        <x:v>MEDIX</x:v>
      </x:c>
      <x:c r="K467" s="28" t="str">
        <x:f>"GTIN: 7898913077164"</x:f>
        <x:v>GTIN: 7898913077164</x:v>
      </x:c>
      <x:c r="L467" s="28" t="str">
        <x:f>"90183929"</x:f>
        <x:v>90183929</x:v>
      </x:c>
      <x:c r="M467" s="22" t="str">
        <x:v>UN</x:v>
      </x:c>
      <x:c r="N467" s="22" t="str">
        <x:v>CX</x:v>
      </x:c>
      <x:c r="O467" s="22" t="n">
        <x:v>25</x:v>
      </x:c>
      <x:c r="P467" s="28" t="str">
        <x:f>"802"</x:f>
        <x:v>802</x:v>
      </x:c>
      <x:c r="Q467" s="28" t="str">
        <x:f>"TEA0009"</x:f>
        <x:v>TEA0009</x:v>
      </x:c>
    </x:row>
    <x:row r="468">
      <x:c r="A468" s="22" t="n">
        <x:v>464</x:v>
      </x:c>
      <x:c r="B468" s="28" t="str">
        <x:f>"TEA0002"</x:f>
        <x:v>TEA0002</x:v>
      </x:c>
      <x:c r="C468" s="22" t="str">
        <x:v>TUBO ENDOTRAQUEAL ARAMADO C/BALÃO 4.5 - CX/25 - MEDIX</x:v>
      </x:c>
      <x:c r="D468" s="22" t="str">
        <x:v>TUBO ENDOTRAQUEAL ARAMADO BALAO</x:v>
      </x:c>
      <x:c r="E468" s="22" t="str">
        <x:v>TUBO ENDOTRAQUEAL ARAMADO</x:v>
      </x:c>
      <x:c r="F468" s="22" t="str"/>
      <x:c r="G468" s="22" t="str"/>
      <x:c r="H468" s="22" t="str">
        <x:v>CX/25 | CX | CONTEUDO25 | FATOR25</x:v>
      </x:c>
      <x:c r="I468" s="22" t="str">
        <x:v>CAIXA</x:v>
      </x:c>
      <x:c r="J468" s="22" t="str">
        <x:v>MEDIX</x:v>
      </x:c>
      <x:c r="K468" s="28" t="str">
        <x:f>"GTIN: 7898913077164"</x:f>
        <x:v>GTIN: 7898913077164</x:v>
      </x:c>
      <x:c r="L468" s="28" t="str">
        <x:f>"90183929"</x:f>
        <x:v>90183929</x:v>
      </x:c>
      <x:c r="M468" s="22" t="str">
        <x:v>UN</x:v>
      </x:c>
      <x:c r="N468" s="22" t="str">
        <x:v>CX</x:v>
      </x:c>
      <x:c r="O468" s="22" t="n">
        <x:v>25</x:v>
      </x:c>
      <x:c r="P468" s="28" t="str">
        <x:f>"803"</x:f>
        <x:v>803</x:v>
      </x:c>
      <x:c r="Q468" s="28" t="str">
        <x:f>"TEA0002"</x:f>
        <x:v>TEA0002</x:v>
      </x:c>
    </x:row>
    <x:row r="469">
      <x:c r="A469" s="22" t="n">
        <x:v>465</x:v>
      </x:c>
      <x:c r="B469" s="28" t="str">
        <x:f>"TEA0006"</x:f>
        <x:v>TEA0006</x:v>
      </x:c>
      <x:c r="C469" s="22" t="str">
        <x:v>TUBO ENDOTRAQUEAL ARAMADO C/BALÃO 5,0 - CX/25 - MEDIX</x:v>
      </x:c>
      <x:c r="D469" s="22" t="str">
        <x:v>TUBO ENDOTRAQUEAL ARAMADO BALAO</x:v>
      </x:c>
      <x:c r="E469" s="22" t="str">
        <x:v>TUBO ENDOTRAQUEAL ARAMADO</x:v>
      </x:c>
      <x:c r="F469" s="22" t="str"/>
      <x:c r="G469" s="22" t="str"/>
      <x:c r="H469" s="22" t="str">
        <x:v>CX/25 | CX | CONTEUDO25 | FATOR25</x:v>
      </x:c>
      <x:c r="I469" s="22" t="str">
        <x:v>CAIXA</x:v>
      </x:c>
      <x:c r="J469" s="22" t="str">
        <x:v>MEDIX</x:v>
      </x:c>
      <x:c r="K469" s="28" t="str">
        <x:f>"GTIN: 7898913077164"</x:f>
        <x:v>GTIN: 7898913077164</x:v>
      </x:c>
      <x:c r="L469" s="28" t="str">
        <x:f>"90183929"</x:f>
        <x:v>90183929</x:v>
      </x:c>
      <x:c r="M469" s="22" t="str">
        <x:v>UN</x:v>
      </x:c>
      <x:c r="N469" s="22" t="str">
        <x:v>CX</x:v>
      </x:c>
      <x:c r="O469" s="22" t="n">
        <x:v>25</x:v>
      </x:c>
      <x:c r="P469" s="28" t="str">
        <x:f>"804"</x:f>
        <x:v>804</x:v>
      </x:c>
      <x:c r="Q469" s="28" t="str">
        <x:f>"TEA0006"</x:f>
        <x:v>TEA0006</x:v>
      </x:c>
    </x:row>
    <x:row r="470">
      <x:c r="A470" s="22" t="n">
        <x:v>466</x:v>
      </x:c>
      <x:c r="B470" s="28" t="str">
        <x:f>"TEA0003"</x:f>
        <x:v>TEA0003</x:v>
      </x:c>
      <x:c r="C470" s="22" t="str">
        <x:v>TUBO ENDOTRAQUEAL ARAMADO C/BALÃO 5.5 - CX/25 - MEDIX</x:v>
      </x:c>
      <x:c r="D470" s="22" t="str">
        <x:v>TUBO ENDOTRAQUEAL ARAMADO BALAO</x:v>
      </x:c>
      <x:c r="E470" s="22" t="str">
        <x:v>TUBO ENDOTRAQUEAL ARAMADO</x:v>
      </x:c>
      <x:c r="F470" s="22" t="str"/>
      <x:c r="G470" s="22" t="str"/>
      <x:c r="H470" s="22" t="str">
        <x:v>CX/25 | CX | CONTEUDO25 | FATOR25</x:v>
      </x:c>
      <x:c r="I470" s="22" t="str">
        <x:v>CAIXA</x:v>
      </x:c>
      <x:c r="J470" s="22" t="str">
        <x:v>MEDIX</x:v>
      </x:c>
      <x:c r="K470" s="28" t="str">
        <x:f>"GTIN: 7898913077164"</x:f>
        <x:v>GTIN: 7898913077164</x:v>
      </x:c>
      <x:c r="L470" s="28" t="str">
        <x:f>"90183929"</x:f>
        <x:v>90183929</x:v>
      </x:c>
      <x:c r="M470" s="22" t="str">
        <x:v>UN</x:v>
      </x:c>
      <x:c r="N470" s="22" t="str">
        <x:v>CX</x:v>
      </x:c>
      <x:c r="O470" s="22" t="n">
        <x:v>25</x:v>
      </x:c>
      <x:c r="P470" s="28" t="str">
        <x:f>"805"</x:f>
        <x:v>805</x:v>
      </x:c>
      <x:c r="Q470" s="28" t="str">
        <x:f>"TEA0003"</x:f>
        <x:v>TEA0003</x:v>
      </x:c>
    </x:row>
    <x:row r="471">
      <x:c r="A471" s="22" t="n">
        <x:v>467</x:v>
      </x:c>
      <x:c r="B471" s="28" t="str">
        <x:f>"TEA0007"</x:f>
        <x:v>TEA0007</x:v>
      </x:c>
      <x:c r="C471" s="22" t="str">
        <x:v>TUBO ENDOTRAQUEAL ARAMADO C/BALÃO 6,0 - CX/25 - MEDIX</x:v>
      </x:c>
      <x:c r="D471" s="22" t="str">
        <x:v>TUBO ENDOTRAQUEAL ARAMADO BALAO</x:v>
      </x:c>
      <x:c r="E471" s="22" t="str">
        <x:v>TUBO ENDOTRAQUEAL ARAMADO</x:v>
      </x:c>
      <x:c r="F471" s="22" t="str"/>
      <x:c r="G471" s="22" t="str"/>
      <x:c r="H471" s="22" t="str">
        <x:v>CX/25 | CX | CONTEUDO25 | FATOR25</x:v>
      </x:c>
      <x:c r="I471" s="22" t="str">
        <x:v>CAIXA</x:v>
      </x:c>
      <x:c r="J471" s="22" t="str">
        <x:v>MEDIX</x:v>
      </x:c>
      <x:c r="K471" s="28" t="str">
        <x:f>"GTIN: 7898913077164"</x:f>
        <x:v>GTIN: 7898913077164</x:v>
      </x:c>
      <x:c r="L471" s="28" t="str">
        <x:f>"90183929"</x:f>
        <x:v>90183929</x:v>
      </x:c>
      <x:c r="M471" s="22" t="str">
        <x:v>UN</x:v>
      </x:c>
      <x:c r="N471" s="22" t="str">
        <x:v>CX</x:v>
      </x:c>
      <x:c r="O471" s="22" t="n">
        <x:v>25</x:v>
      </x:c>
      <x:c r="P471" s="28" t="str">
        <x:f>"806"</x:f>
        <x:v>806</x:v>
      </x:c>
      <x:c r="Q471" s="28" t="str">
        <x:f>"TEA0007"</x:f>
        <x:v>TEA0007</x:v>
      </x:c>
    </x:row>
    <x:row r="472">
      <x:c r="A472" s="22" t="n">
        <x:v>468</x:v>
      </x:c>
      <x:c r="B472" s="28" t="str">
        <x:f>"TEA0004"</x:f>
        <x:v>TEA0004</x:v>
      </x:c>
      <x:c r="C472" s="22" t="str">
        <x:v>TUBO ENDOTRAQUEAL ARAMADO C/BALÃO 6.5 - CX/25 - MEDIX</x:v>
      </x:c>
      <x:c r="D472" s="22" t="str">
        <x:v>TUBO ENDOTRAQUEAL ARAMADO BALAO</x:v>
      </x:c>
      <x:c r="E472" s="22" t="str">
        <x:v>TUBO ENDOTRAQUEAL ARAMADO</x:v>
      </x:c>
      <x:c r="F472" s="22" t="str"/>
      <x:c r="G472" s="22" t="str"/>
      <x:c r="H472" s="22" t="str">
        <x:v>CX/25 | CX | CONTEUDO25 | FATOR25</x:v>
      </x:c>
      <x:c r="I472" s="22" t="str">
        <x:v>CAIXA</x:v>
      </x:c>
      <x:c r="J472" s="22" t="str">
        <x:v>MEDIX</x:v>
      </x:c>
      <x:c r="K472" s="28" t="str">
        <x:f>"GTIN: 7898913077164"</x:f>
        <x:v>GTIN: 7898913077164</x:v>
      </x:c>
      <x:c r="L472" s="28" t="str">
        <x:f>"90183929"</x:f>
        <x:v>90183929</x:v>
      </x:c>
      <x:c r="M472" s="22" t="str">
        <x:v>UN</x:v>
      </x:c>
      <x:c r="N472" s="22" t="str">
        <x:v>CX</x:v>
      </x:c>
      <x:c r="O472" s="22" t="n">
        <x:v>25</x:v>
      </x:c>
      <x:c r="P472" s="28" t="str">
        <x:f>"807"</x:f>
        <x:v>807</x:v>
      </x:c>
      <x:c r="Q472" s="28" t="str">
        <x:f>"TEA0004"</x:f>
        <x:v>TEA0004</x:v>
      </x:c>
    </x:row>
    <x:row r="473">
      <x:c r="A473" s="22" t="n">
        <x:v>469</x:v>
      </x:c>
      <x:c r="B473" s="28" t="str">
        <x:f>"TEA0001"</x:f>
        <x:v>TEA0001</x:v>
      </x:c>
      <x:c r="C473" s="22" t="str">
        <x:v>TUBO ENDOTRAQUEAL ARAMADO C/BALÃO 8.5 - CX/10 - SOLIDOR</x:v>
      </x:c>
      <x:c r="D473" s="22" t="str">
        <x:v>TUBO ENDOTRAQUEAL ARAMADO BALAO</x:v>
      </x:c>
      <x:c r="E473" s="22" t="str">
        <x:v>TUBO ENDOTRAQUEAL ARAMADO</x:v>
      </x:c>
      <x:c r="F473" s="22" t="str"/>
      <x:c r="G473" s="22" t="str"/>
      <x:c r="H473" s="22" t="str">
        <x:v>CX/10 | CX | CONTEUDO10 | FATOR10</x:v>
      </x:c>
      <x:c r="I473" s="22" t="str">
        <x:v>CAIXA</x:v>
      </x:c>
      <x:c r="J473" s="22" t="str">
        <x:v>SOLIDOR</x:v>
      </x:c>
      <x:c r="K473" s="28" t="str">
        <x:f>"GTIN: 7898913077164"</x:f>
        <x:v>GTIN: 7898913077164</x:v>
      </x:c>
      <x:c r="L473" s="28" t="str">
        <x:f>"90183929"</x:f>
        <x:v>90183929</x:v>
      </x:c>
      <x:c r="M473" s="22" t="str">
        <x:v>UN</x:v>
      </x:c>
      <x:c r="N473" s="22" t="str">
        <x:v>CX</x:v>
      </x:c>
      <x:c r="O473" s="22" t="n">
        <x:v>10</x:v>
      </x:c>
      <x:c r="P473" s="28" t="str">
        <x:f>"808"</x:f>
        <x:v>808</x:v>
      </x:c>
      <x:c r="Q473" s="28" t="str">
        <x:f>"TEA0001"</x:f>
        <x:v>TEA0001</x:v>
      </x:c>
    </x:row>
    <x:row r="474">
      <x:c r="A474" s="22" t="n">
        <x:v>470</x:v>
      </x:c>
      <x:c r="B474" s="28" t="str">
        <x:f>"TEA0005"</x:f>
        <x:v>TEA0005</x:v>
      </x:c>
      <x:c r="C474" s="22" t="str">
        <x:v>TUBO ENDOTRAQUEAL ARAMADO C/BALÃO 8.5 - CX/25 - MEDIX</x:v>
      </x:c>
      <x:c r="D474" s="22" t="str">
        <x:v>TUBO ENDOTRAQUEAL ARAMADO BALAO</x:v>
      </x:c>
      <x:c r="E474" s="22" t="str">
        <x:v>TUBO ENDOTRAQUEAL ARAMADO</x:v>
      </x:c>
      <x:c r="F474" s="22" t="str"/>
      <x:c r="G474" s="22" t="str"/>
      <x:c r="H474" s="22" t="str">
        <x:v>CX/25 | CX | CONTEUDO25 | FATOR25</x:v>
      </x:c>
      <x:c r="I474" s="22" t="str">
        <x:v>CAIXA</x:v>
      </x:c>
      <x:c r="J474" s="22" t="str">
        <x:v>MEDIX</x:v>
      </x:c>
      <x:c r="K474" s="28" t="str">
        <x:f>"GTIN: 7898913077164"</x:f>
        <x:v>GTIN: 7898913077164</x:v>
      </x:c>
      <x:c r="L474" s="28" t="str">
        <x:f>"90183929"</x:f>
        <x:v>90183929</x:v>
      </x:c>
      <x:c r="M474" s="22" t="str">
        <x:v>UN</x:v>
      </x:c>
      <x:c r="N474" s="22" t="str">
        <x:v>CX</x:v>
      </x:c>
      <x:c r="O474" s="22" t="n">
        <x:v>25</x:v>
      </x:c>
      <x:c r="P474" s="28" t="str">
        <x:f>"809"</x:f>
        <x:v>809</x:v>
      </x:c>
      <x:c r="Q474" s="28" t="str">
        <x:f>"TEA0005"</x:f>
        <x:v>TEA0005</x:v>
      </x:c>
    </x:row>
    <x:row r="475">
      <x:c r="A475" s="22" t="n">
        <x:v>471</x:v>
      </x:c>
      <x:c r="B475" s="28" t="str">
        <x:f>"TEA0008"</x:f>
        <x:v>TEA0008</x:v>
      </x:c>
      <x:c r="C475" s="22" t="str">
        <x:v>TUBO ENDOTRAQUEAL ARAMADO C/BALÃO 9,0 - CX/25 - MEDIX</x:v>
      </x:c>
      <x:c r="D475" s="22" t="str">
        <x:v>TUBO ENDOTRAQUEAL ARAMADO BALAO</x:v>
      </x:c>
      <x:c r="E475" s="22" t="str">
        <x:v>TUBO ENDOTRAQUEAL ARAMADO</x:v>
      </x:c>
      <x:c r="F475" s="22" t="str"/>
      <x:c r="G475" s="22" t="str"/>
      <x:c r="H475" s="22" t="str">
        <x:v>CX/25 | CX | CONTEUDO25 | FATOR25</x:v>
      </x:c>
      <x:c r="I475" s="22" t="str">
        <x:v>CAIXA</x:v>
      </x:c>
      <x:c r="J475" s="22" t="str">
        <x:v>MEDIX</x:v>
      </x:c>
      <x:c r="K475" s="28" t="str">
        <x:f>"GTIN: 7898913077164"</x:f>
        <x:v>GTIN: 7898913077164</x:v>
      </x:c>
      <x:c r="L475" s="28" t="str">
        <x:f>"90183929"</x:f>
        <x:v>90183929</x:v>
      </x:c>
      <x:c r="M475" s="22" t="str">
        <x:v>UN</x:v>
      </x:c>
      <x:c r="N475" s="22" t="str">
        <x:v>CX</x:v>
      </x:c>
      <x:c r="O475" s="22" t="n">
        <x:v>25</x:v>
      </x:c>
      <x:c r="P475" s="28" t="str">
        <x:f>"810"</x:f>
        <x:v>810</x:v>
      </x:c>
      <x:c r="Q475" s="28" t="str">
        <x:f>"TEA0008"</x:f>
        <x:v>TEA0008</x:v>
      </x:c>
    </x:row>
    <x:row r="476">
      <x:c r="A476" s="22" t="n">
        <x:v>472</x:v>
      </x:c>
      <x:c r="B476" s="28" t="str">
        <x:f>"UCN0001"</x:f>
        <x:v>UCN0001</x:v>
      </x:c>
      <x:c r="C476" s="22" t="str">
        <x:v>ULTRAVIST CONTRASTE NÃO IONICO 300/50ML - BAYER</x:v>
      </x:c>
      <x:c r="D476" s="22" t="str">
        <x:v>ULTRAVIST CONTRASTE NAO IONICO</x:v>
      </x:c>
      <x:c r="E476" s="22" t="str">
        <x:v>ULTRAVIST CONTRASTE NAO</x:v>
      </x:c>
      <x:c r="F476" s="22" t="str">
        <x:v>50ML</x:v>
      </x:c>
      <x:c r="G476" s="22" t="str"/>
      <x:c r="H476" s="22" t="str">
        <x:v>FRASCO</x:v>
      </x:c>
      <x:c r="I476" s="22" t="str">
        <x:v>FRASCO</x:v>
      </x:c>
      <x:c r="J476" s="22" t="str">
        <x:v>BAYER</x:v>
      </x:c>
      <x:c r="K476" s="28" t="str">
        <x:f>"GTIN: 7891106906357"</x:f>
        <x:v>GTIN: 7891106906357</x:v>
      </x:c>
      <x:c r="L476" s="28" t="str">
        <x:f>"29242964"</x:f>
        <x:v>29242964</x:v>
      </x:c>
      <x:c r="M476" s="22" t="str">
        <x:v>FRASCO</x:v>
      </x:c>
      <x:c r="N476" s="22" t="str">
        <x:v>FRASCO</x:v>
      </x:c>
      <x:c r="O476" s="22" t="n">
        <x:v>1</x:v>
      </x:c>
      <x:c r="P476" s="28" t="str">
        <x:f>"811 | 812"</x:f>
        <x:v>811 | 812</x:v>
      </x:c>
      <x:c r="Q476" s="28" t="str">
        <x:f>"UCN0001 | CNI0008"</x:f>
        <x:v>UCN0001 | CNI0008</x:v>
      </x:c>
    </x:row>
    <x:row r="477">
      <x:c r="A477" s="22" t="n">
        <x:v>473</x:v>
      </x:c>
      <x:c r="B477" s="28" t="str">
        <x:f>"V2F0002"</x:f>
        <x:v>V2F0002</x:v>
      </x:c>
      <x:c r="C477" s="22" t="str">
        <x:v>VASOPRESSINA 20U/ML FR 1ML ENCRISE CX/25 - BIOLAB</x:v>
      </x:c>
      <x:c r="D477" s="22" t="str">
        <x:v>VASOPRESSINA ML ENCRISE</x:v>
      </x:c>
      <x:c r="E477" s="22" t="str">
        <x:v>VASOPRESSINA ML ENCRISE</x:v>
      </x:c>
      <x:c r="F477" s="22" t="str">
        <x:v>20U | 1ML</x:v>
      </x:c>
      <x:c r="G477" s="22" t="str"/>
      <x:c r="H477" s="22" t="str">
        <x:v>FR | CX/25 | UN</x:v>
      </x:c>
      <x:c r="I477" s="22" t="str">
        <x:v>UNIDADE</x:v>
      </x:c>
      <x:c r="J477" s="22" t="str">
        <x:v>BIOLAB</x:v>
      </x:c>
      <x:c r="K477" s="28" t="str">
        <x:f>"GTIN: 7896112412113"</x:f>
        <x:v>GTIN: 7896112412113</x:v>
      </x:c>
      <x:c r="L477" s="28" t="str">
        <x:f>"30049029"</x:f>
        <x:v>30049029</x:v>
      </x:c>
      <x:c r="M477" s="22" t="str">
        <x:v>UN</x:v>
      </x:c>
      <x:c r="N477" s="22" t="str">
        <x:v>UN</x:v>
      </x:c>
      <x:c r="O477" s="22" t="n">
        <x:v>1</x:v>
      </x:c>
      <x:c r="P477" s="28" t="str">
        <x:f>"813 | 814 | 815 | 816 | 817 | 818"</x:f>
        <x:v>813 | 814 | 815 | 816 | 817 | 818</x:v>
      </x:c>
      <x:c r="Q477" s="28" t="str">
        <x:f>"V2F0001 | V2F0002 | V2F0005 | V2F0003 | V2F0004 | V2F0006"</x:f>
        <x:v>V2F0001 | V2F0002 | V2F0005 | V2F0003 | V2F0004 | V2F0006</x:v>
      </x:c>
    </x:row>
    <x:row r="478">
      <x:c r="A478" s="22" t="n">
        <x:v>474</x:v>
      </x:c>
      <x:c r="B478" s="28" t="str">
        <x:f>"WL10003"</x:f>
        <x:v>WL10003</x:v>
      </x:c>
      <x:c r="C478" s="22" t="str">
        <x:v>WRAP LEVE 0,80X0,80 VERDE N/ESTERIL - CX/250 - PION G</x:v>
      </x:c>
      <x:c r="D478" s="22" t="str">
        <x:v>WRAP LEVE VERDE N ESTERIL</x:v>
      </x:c>
      <x:c r="E478" s="22" t="str">
        <x:v>WRAP LEVE VERDE</x:v>
      </x:c>
      <x:c r="F478" s="22" t="str"/>
      <x:c r="G478" s="22" t="str">
        <x:v>0,80X0,80</x:v>
      </x:c>
      <x:c r="H478" s="22" t="str">
        <x:v>CX/250 | CX | CONTEUDO250 | FATOR250</x:v>
      </x:c>
      <x:c r="I478" s="22" t="str">
        <x:v>CAIXA</x:v>
      </x:c>
      <x:c r="J478" s="22" t="str">
        <x:v>PION G</x:v>
      </x:c>
      <x:c r="K478" s="28" t="str">
        <x:f>"GTIN: 7908267458875"</x:f>
        <x:v>GTIN: 7908267458875</x:v>
      </x:c>
      <x:c r="L478" s="28" t="str">
        <x:f>"56031290"</x:f>
        <x:v>56031290</x:v>
      </x:c>
      <x:c r="M478" s="22" t="str">
        <x:v>UN</x:v>
      </x:c>
      <x:c r="N478" s="22" t="str">
        <x:v>CX</x:v>
      </x:c>
      <x:c r="O478" s="22" t="n">
        <x:v>250</x:v>
      </x:c>
      <x:c r="P478" s="28" t="str">
        <x:f>"819"</x:f>
        <x:v>819</x:v>
      </x:c>
      <x:c r="Q478" s="28" t="str">
        <x:f>"WL10003"</x:f>
        <x:v>WL10003</x:v>
      </x:c>
    </x:row>
    <x:row r="479">
      <x:c r="A479" s="22" t="n">
        <x:v>475</x:v>
      </x:c>
      <x:c r="B479" s="28" t="str">
        <x:f>"WL10001"</x:f>
        <x:v>WL10001</x:v>
      </x:c>
      <x:c r="C479" s="22" t="str">
        <x:v>WRAP LEVE 1,00X1,00 VERDE N/ESTERIL - CX/150 - PION G</x:v>
      </x:c>
      <x:c r="D479" s="22" t="str">
        <x:v>WRAP LEVE VERDE N ESTERIL</x:v>
      </x:c>
      <x:c r="E479" s="22" t="str">
        <x:v>WRAP LEVE VERDE</x:v>
      </x:c>
      <x:c r="F479" s="22" t="str"/>
      <x:c r="G479" s="22" t="str">
        <x:v>1,00X1,00</x:v>
      </x:c>
      <x:c r="H479" s="22" t="str">
        <x:v>CX/150 | CX | CONTEUDO150 | FATOR150</x:v>
      </x:c>
      <x:c r="I479" s="22" t="str">
        <x:v>CAIXA</x:v>
      </x:c>
      <x:c r="J479" s="22" t="str">
        <x:v>PION G</x:v>
      </x:c>
      <x:c r="K479" s="28" t="str">
        <x:f>"GTIN: 07898010920790"</x:f>
        <x:v>GTIN: 07898010920790</x:v>
      </x:c>
      <x:c r="L479" s="28" t="str">
        <x:f>"56031290"</x:f>
        <x:v>56031290</x:v>
      </x:c>
      <x:c r="M479" s="22" t="str">
        <x:v>UN</x:v>
      </x:c>
      <x:c r="N479" s="22" t="str">
        <x:v>CX</x:v>
      </x:c>
      <x:c r="O479" s="22" t="n">
        <x:v>150</x:v>
      </x:c>
      <x:c r="P479" s="28" t="str">
        <x:f>"820"</x:f>
        <x:v>820</x:v>
      </x:c>
      <x:c r="Q479" s="28" t="str">
        <x:f>"WL10001"</x:f>
        <x:v>WL10001</x:v>
      </x:c>
    </x:row>
    <x:row r="480">
      <x:c r="A480" s="22" t="n">
        <x:v>476</x:v>
      </x:c>
      <x:c r="B480" s="28" t="str">
        <x:f>"WL10002"</x:f>
        <x:v>WL10002</x:v>
      </x:c>
      <x:c r="C480" s="22" t="str">
        <x:v>WRAP LEVE 1,20X1,20 VERDE N/ESTERIL - CX/125 - PION G</x:v>
      </x:c>
      <x:c r="D480" s="22" t="str">
        <x:v>WRAP LEVE VERDE N ESTERIL</x:v>
      </x:c>
      <x:c r="E480" s="22" t="str">
        <x:v>WRAP LEVE VERDE</x:v>
      </x:c>
      <x:c r="F480" s="22" t="str"/>
      <x:c r="G480" s="22" t="str">
        <x:v>1,20X1,20</x:v>
      </x:c>
      <x:c r="H480" s="22" t="str">
        <x:v>CX/125 | CX | CONTEUDO125 | FATOR125</x:v>
      </x:c>
      <x:c r="I480" s="22" t="str">
        <x:v>CAIXA</x:v>
      </x:c>
      <x:c r="J480" s="22" t="str">
        <x:v>PION G</x:v>
      </x:c>
      <x:c r="K480" s="28" t="str">
        <x:f>"GTIN: 7908267458899"</x:f>
        <x:v>GTIN: 7908267458899</x:v>
      </x:c>
      <x:c r="L480" s="28" t="str">
        <x:f>"56031290"</x:f>
        <x:v>56031290</x:v>
      </x:c>
      <x:c r="M480" s="22" t="str">
        <x:v>UN</x:v>
      </x:c>
      <x:c r="N480" s="22" t="str">
        <x:v>CX</x:v>
      </x:c>
      <x:c r="O480" s="22" t="n">
        <x:v>125</x:v>
      </x:c>
      <x:c r="P480" s="28" t="str">
        <x:f>"821"</x:f>
        <x:v>821</x:v>
      </x:c>
      <x:c r="Q480" s="28" t="str">
        <x:f>"WL10002"</x:f>
        <x:v>WL10002</x:v>
      </x:c>
    </x:row>
    <x:row r="481">
      <x:c r="A481" s="22" t="n">
        <x:v>477</x:v>
      </x:c>
      <x:c r="B481" s="28" t="str">
        <x:f>"WL00001"</x:f>
        <x:v>WL00001</x:v>
      </x:c>
      <x:c r="C481" s="22" t="str">
        <x:v>WRAP PESADO 0,80X0,80 AZUL N/ESTERIL - CX/250 - PION G</x:v>
      </x:c>
      <x:c r="D481" s="22" t="str">
        <x:v>WRAP PESADO AZUL N ESTERIL</x:v>
      </x:c>
      <x:c r="E481" s="22" t="str">
        <x:v>WRAP PESADO AZUL</x:v>
      </x:c>
      <x:c r="F481" s="22" t="str"/>
      <x:c r="G481" s="22" t="str">
        <x:v>0,80X0,80</x:v>
      </x:c>
      <x:c r="H481" s="22" t="str">
        <x:v>CX/250 | CX | CONTEUDO250 | FATOR250</x:v>
      </x:c>
      <x:c r="I481" s="22" t="str">
        <x:v>CAIXA</x:v>
      </x:c>
      <x:c r="J481" s="22" t="str">
        <x:v>PION G</x:v>
      </x:c>
      <x:c r="K481" s="28" t="str">
        <x:f>"GTIN: 7908267405091"</x:f>
        <x:v>GTIN: 7908267405091</x:v>
      </x:c>
      <x:c r="L481" s="28" t="str">
        <x:f>"56031290"</x:f>
        <x:v>56031290</x:v>
      </x:c>
      <x:c r="M481" s="22" t="str">
        <x:v>UN</x:v>
      </x:c>
      <x:c r="N481" s="22" t="str">
        <x:v>CX</x:v>
      </x:c>
      <x:c r="O481" s="22" t="n">
        <x:v>250</x:v>
      </x:c>
      <x:c r="P481" s="28" t="str">
        <x:f>"822"</x:f>
        <x:v>822</x:v>
      </x:c>
      <x:c r="Q481" s="28" t="str">
        <x:f>"WL00001"</x:f>
        <x:v>WL00001</x:v>
      </x:c>
    </x:row>
    <x:row r="482">
      <x:c r="A482" s="22" t="n">
        <x:v>478</x:v>
      </x:c>
      <x:c r="B482" s="28" t="str">
        <x:f>"WL10005"</x:f>
        <x:v>WL10005</x:v>
      </x:c>
      <x:c r="C482" s="22" t="str">
        <x:v>WRAP PESADO 1,00X1,00 AZUL N/ESTERIL - CX/150 - PION G</x:v>
      </x:c>
      <x:c r="D482" s="22" t="str">
        <x:v>WRAP PESADO AZUL N ESTERIL PION G</x:v>
      </x:c>
      <x:c r="E482" s="22" t="str">
        <x:v>WRAP PESADO AZUL</x:v>
      </x:c>
      <x:c r="F482" s="22" t="str"/>
      <x:c r="G482" s="22" t="str">
        <x:v>1,00X1,00</x:v>
      </x:c>
      <x:c r="H482" s="22" t="str">
        <x:v>CX/150 | CX | CONTEUDO150 | FATOR150</x:v>
      </x:c>
      <x:c r="I482" s="22" t="str">
        <x:v>CAIXA</x:v>
      </x:c>
      <x:c r="J482" s="22" t="str">
        <x:v>NULL</x:v>
      </x:c>
      <x:c r="K482" s="28" t="str">
        <x:f>"GTIN: 7908267404971"</x:f>
        <x:v>GTIN: 7908267404971</x:v>
      </x:c>
      <x:c r="L482" s="28" t="str">
        <x:f>"56031290"</x:f>
        <x:v>56031290</x:v>
      </x:c>
      <x:c r="M482" s="22" t="str">
        <x:v>UN</x:v>
      </x:c>
      <x:c r="N482" s="22" t="str">
        <x:v>CX</x:v>
      </x:c>
      <x:c r="O482" s="22" t="n">
        <x:v>150</x:v>
      </x:c>
      <x:c r="P482" s="28" t="str">
        <x:f>"823"</x:f>
        <x:v>823</x:v>
      </x:c>
      <x:c r="Q482" s="28" t="str">
        <x:f>"WL10005"</x:f>
        <x:v>WL10005</x:v>
      </x:c>
    </x:row>
    <x:row r="483">
      <x:c r="A483" s="22" t="n">
        <x:v>479</x:v>
      </x:c>
      <x:c r="B483" s="28" t="str">
        <x:f>"WL10004"</x:f>
        <x:v>WL10004</x:v>
      </x:c>
      <x:c r="C483" s="22" t="str">
        <x:v>WRAP PESADO 1,20X1,20 AZUL N/ESTERIL - CX/100 - PION G</x:v>
      </x:c>
      <x:c r="D483" s="22" t="str">
        <x:v>WRAP PESADO AZUL N ESTERIL</x:v>
      </x:c>
      <x:c r="E483" s="22" t="str">
        <x:v>WRAP PESADO AZUL</x:v>
      </x:c>
      <x:c r="F483" s="22" t="str"/>
      <x:c r="G483" s="22" t="str">
        <x:v>1,20X1,20</x:v>
      </x:c>
      <x:c r="H483" s="22" t="str">
        <x:v>CX/100 | CX | CONTEUDO100 | FATOR100</x:v>
      </x:c>
      <x:c r="I483" s="22" t="str">
        <x:v>CAIXA</x:v>
      </x:c>
      <x:c r="J483" s="22" t="str">
        <x:v>PION G</x:v>
      </x:c>
      <x:c r="K483" s="28" t="str">
        <x:f>"GTIN: 7908267404971"</x:f>
        <x:v>GTIN: 7908267404971</x:v>
      </x:c>
      <x:c r="L483" s="28" t="str">
        <x:f>"56031290"</x:f>
        <x:v>56031290</x:v>
      </x:c>
      <x:c r="M483" s="22" t="str">
        <x:v>UN</x:v>
      </x:c>
      <x:c r="N483" s="22" t="str">
        <x:v>CX</x:v>
      </x:c>
      <x:c r="O483" s="22" t="n">
        <x:v>100</x:v>
      </x:c>
      <x:c r="P483" s="28" t="str">
        <x:f>"824"</x:f>
        <x:v>824</x:v>
      </x:c>
      <x:c r="Q483" s="28" t="str">
        <x:f>"WL10004"</x:f>
        <x:v>WL10004</x:v>
      </x:c>
    </x:row>
    <x:row r="484">
      <x:c r="A484" s="22" t="n">
        <x:v>480</x:v>
      </x:c>
      <x:c r="B484" s="28" t="str">
        <x:f>"XLS0002"</x:f>
        <x:v>XLS0002</x:v>
      </x:c>
      <x:c r="C484" s="22" t="str">
        <x:v>XYLESTESIN LIDOCAÍNA SPRAY 10% 100MG/ML FR 50ML - CRISTÁLIA</x:v>
      </x:c>
      <x:c r="D484" s="22" t="str">
        <x:v>XYLESTESIN LIDOCAINA SPRAY %</x:v>
      </x:c>
      <x:c r="E484" s="22" t="str">
        <x:v>XYLESTESIN LIDOCAINA SPRAY</x:v>
      </x:c>
      <x:c r="F484" s="22" t="str">
        <x:v>100MG/ML | 100MG | 50ML</x:v>
      </x:c>
      <x:c r="G484" s="22" t="str"/>
      <x:c r="H484" s="22" t="str">
        <x:v>FR | UN</x:v>
      </x:c>
      <x:c r="I484" s="22" t="str">
        <x:v>UNIDADE</x:v>
      </x:c>
      <x:c r="J484" s="22" t="str">
        <x:v>CRISTÁLIA</x:v>
      </x:c>
      <x:c r="K484" s="28" t="str"/>
      <x:c r="L484" s="28" t="str">
        <x:f>"30049043"</x:f>
        <x:v>30049043</x:v>
      </x:c>
      <x:c r="M484" s="22" t="str">
        <x:v>UN</x:v>
      </x:c>
      <x:c r="N484" s="22" t="str">
        <x:v>UN</x:v>
      </x:c>
      <x:c r="O484" s="22" t="n">
        <x:v>1</x:v>
      </x:c>
      <x:c r="P484" s="28" t="str">
        <x:f>"825 | 826"</x:f>
        <x:v>825 | 826</x:v>
      </x:c>
      <x:c r="Q484" s="28" t="str">
        <x:f>"XLS0002 | XLS0001"</x:f>
        <x:v>XLS0002 | XLS0001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3ecd7ffbf7d49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6" hidden="0" customWidth="1"/>
  </x:cols>
  <x:sheetData>
    <x:row r="1" ht="28" customHeight="1">
      <x:c r="A1" s="3" t="str">
        <x:v>Regras usadas na leitura dos nomes</x:v>
      </x:c>
      <x:c r="B1" s="3"/>
    </x:row>
    <x:row r="2" ht="34" customHeight="1">
      <x:c r="A2" s="7" t="str">
        <x:v>As regras são auxiliares para revisão cadastral. Elas não substituem validação técnica/comercial de produtos médicos.</x:v>
      </x:c>
      <x:c r="B2" s="7"/>
    </x:row>
    <x:row r="4" ht="38" customHeight="1">
      <x:c r="A4" s="26" t="str">
        <x:v>Item</x:v>
      </x:c>
      <x:c r="B4" s="26" t="str">
        <x:v>Regra / interpretação</x:v>
      </x:c>
    </x:row>
    <x:row r="5">
      <x:c r="A5" s="22" t="str">
        <x:v>Nome base</x:v>
      </x:c>
      <x:c r="B5" s="22" t="str">
        <x:v>Descrição sem lote, validade, marca, embalagem e especificações numéricas. Serve para encontrar famílias de produtos semelhantes.</x:v>
      </x:c>
    </x:row>
    <x:row r="6">
      <x:c r="A6" s="22" t="str">
        <x:v>Dosagem/volume/%</x:v>
      </x:c>
      <x:c r="B6" s="22" t="str">
        <x:v>Captura padrões como 50MG/5ML, 1000MG + 200MG, 20%, 500ML, 4000 UI.</x:v>
      </x:c>
    </x:row>
    <x:row r="7">
      <x:c r="A7" s="22" t="str">
        <x:v>Dimensão/calibre</x:v>
      </x:c>
      <x:c r="B7" s="22" t="str">
        <x:v>Captura padrões como 13X0,45MM, 20G/80MM, 24GX3/4, 7,5 X 7,5.</x:v>
      </x:c>
    </x:row>
    <x:row r="8">
      <x:c r="A8" s="22" t="str">
        <x:v>Embalagem</x:v>
      </x:c>
      <x:c r="B8" s="22" t="str">
        <x:v>Captura CX/50, PCT/10, FR, AP, BOLSA, unidade de compra e fator de conversão.</x:v>
      </x:c>
    </x:row>
    <x:row r="9">
      <x:c r="A9" s="22" t="str">
        <x:v>Risco ALTO</x:v>
      </x:c>
      <x:c r="B9" s="22" t="str">
        <x:v>Há GTIN repetido em produtos diferentes, ou mesma família com diferenças relevantes de especificação.</x:v>
      </x:c>
    </x:row>
    <x:row r="10">
      <x:c r="A10" s="22" t="str">
        <x:v>Risco MÉDIO</x:v>
      </x:c>
      <x:c r="B10" s="22" t="str">
        <x:v>Há produtos parecidos com especificações diferentes, mas sem GTIN repetido detectado.</x:v>
      </x:c>
    </x:row>
    <x:row r="11">
      <x:c r="A11" s="22" t="str">
        <x:v>Possível duplicidade</x:v>
      </x:c>
      <x:c r="B11" s="22" t="str">
        <x:v>Mesma base e mesma especificação detectada. Revisar marca, GTIN, fornecedor e embalagem antes de consolidar.</x:v>
      </x:c>
    </x:row>
    <x:row r="12">
      <x:c r="A12" s="22" t="str">
        <x:v>Regra segura</x:v>
      </x:c>
      <x:c r="B12" s="22" t="str">
        <x:v>Quando dosagem, volume, dimensão, calibre, concentração, apresentação ou marca controlada mudar, manter como produto separado até validação humana.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0ff6982a3314f18"/>
  </x:tableParts>
</x:worksheet>
</file>